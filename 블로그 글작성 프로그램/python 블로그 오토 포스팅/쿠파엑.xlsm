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dh52\Desktop\python\"/>
    </mc:Choice>
  </mc:AlternateContent>
  <xr:revisionPtr revIDLastSave="0" documentId="13_ncr:1_{03363DCB-8FF8-4E11-A60A-383A6F655760}" xr6:coauthVersionLast="47" xr6:coauthVersionMax="47" xr10:uidLastSave="{00000000-0000-0000-0000-000000000000}"/>
  <bookViews>
    <workbookView xWindow="-108" yWindow="12852" windowWidth="23256" windowHeight="12576" xr2:uid="{00000000-000D-0000-FFFF-FFFF00000000}"/>
  </bookViews>
  <sheets>
    <sheet name="검색" sheetId="1" r:id="rId1"/>
    <sheet name="태그수정" sheetId="3" r:id="rId2"/>
  </sheets>
  <functionGroups builtInGroupCount="19"/>
  <externalReferences>
    <externalReference r:id="rId3"/>
  </externalReferences>
  <definedNames>
    <definedName name="_xlnm._FilterDatabase" localSheetId="0" hidden="1">검색!$A$8:$W$44</definedName>
    <definedName name="_xlnm._FilterDatabase" localSheetId="1" hidden="1">태그수정!$B$1:$T$37</definedName>
    <definedName name="목록상자_1">OFFSET([1]Sheet2!$E$2,,,COUNTA([1]Sheet2!$E$2:$E$13))</definedName>
    <definedName name="목록상자_2">OFFSET([1]Sheet2!$A$2,MATCH([1]Sheet1!$C$6,[1]Sheet2!$A$1:$A$65536,0)-2,1,COUNTIF([1]Sheet2!$A$1:$A$65536,[1]Sheet1!$C$6),1)</definedName>
  </definedNames>
  <calcPr calcId="181029" calcOnSave="0"/>
</workbook>
</file>

<file path=xl/calcChain.xml><?xml version="1.0" encoding="utf-8"?>
<calcChain xmlns="http://schemas.openxmlformats.org/spreadsheetml/2006/main">
  <c r="E18" i="1" l="1"/>
  <c r="E30" i="1" s="1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C4" i="1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2" i="3"/>
  <c r="D6" i="1"/>
  <c r="E3" i="3" l="1"/>
  <c r="G3" i="3"/>
  <c r="K3" i="3"/>
  <c r="Q3" i="3"/>
  <c r="E4" i="3"/>
  <c r="G4" i="3"/>
  <c r="K4" i="3"/>
  <c r="Q4" i="3"/>
  <c r="E5" i="3"/>
  <c r="G5" i="3"/>
  <c r="K5" i="3"/>
  <c r="Q5" i="3"/>
  <c r="E6" i="3"/>
  <c r="G6" i="3"/>
  <c r="K6" i="3"/>
  <c r="Q6" i="3"/>
  <c r="E7" i="3"/>
  <c r="G7" i="3"/>
  <c r="K7" i="3"/>
  <c r="Q7" i="3"/>
  <c r="E8" i="3"/>
  <c r="G8" i="3"/>
  <c r="K8" i="3"/>
  <c r="Q8" i="3"/>
  <c r="E9" i="3"/>
  <c r="G9" i="3"/>
  <c r="K9" i="3"/>
  <c r="Q9" i="3"/>
  <c r="E10" i="3"/>
  <c r="G10" i="3"/>
  <c r="K10" i="3"/>
  <c r="Q10" i="3"/>
  <c r="E11" i="3"/>
  <c r="G11" i="3"/>
  <c r="K11" i="3"/>
  <c r="Q11" i="3"/>
  <c r="E12" i="3"/>
  <c r="G12" i="3"/>
  <c r="K12" i="3"/>
  <c r="Q12" i="3"/>
  <c r="E13" i="3"/>
  <c r="G13" i="3"/>
  <c r="K13" i="3"/>
  <c r="Q13" i="3"/>
  <c r="E14" i="3"/>
  <c r="G14" i="3"/>
  <c r="K14" i="3"/>
  <c r="Q14" i="3"/>
  <c r="E15" i="3"/>
  <c r="G15" i="3"/>
  <c r="K15" i="3"/>
  <c r="Q15" i="3"/>
  <c r="E16" i="3"/>
  <c r="G16" i="3"/>
  <c r="K16" i="3"/>
  <c r="Q16" i="3"/>
  <c r="E17" i="3"/>
  <c r="G17" i="3"/>
  <c r="K17" i="3"/>
  <c r="Q17" i="3"/>
  <c r="E18" i="3"/>
  <c r="G18" i="3"/>
  <c r="K18" i="3"/>
  <c r="Q18" i="3"/>
  <c r="E19" i="3"/>
  <c r="G19" i="3"/>
  <c r="K19" i="3"/>
  <c r="Q19" i="3"/>
  <c r="E20" i="3"/>
  <c r="G20" i="3"/>
  <c r="K20" i="3"/>
  <c r="Q20" i="3"/>
  <c r="E21" i="3"/>
  <c r="G21" i="3"/>
  <c r="K21" i="3"/>
  <c r="Q21" i="3"/>
  <c r="E22" i="3"/>
  <c r="G22" i="3"/>
  <c r="K22" i="3"/>
  <c r="Q22" i="3"/>
  <c r="E23" i="3"/>
  <c r="G23" i="3"/>
  <c r="K23" i="3"/>
  <c r="Q23" i="3"/>
  <c r="E24" i="3"/>
  <c r="G24" i="3"/>
  <c r="K24" i="3"/>
  <c r="Q24" i="3"/>
  <c r="E25" i="3"/>
  <c r="G25" i="3"/>
  <c r="K25" i="3"/>
  <c r="Q25" i="3"/>
  <c r="E26" i="3"/>
  <c r="G26" i="3"/>
  <c r="K26" i="3"/>
  <c r="Q26" i="3"/>
  <c r="E27" i="3"/>
  <c r="G27" i="3"/>
  <c r="K27" i="3"/>
  <c r="Q27" i="3"/>
  <c r="E28" i="3"/>
  <c r="G28" i="3"/>
  <c r="K28" i="3"/>
  <c r="Q28" i="3"/>
  <c r="E29" i="3"/>
  <c r="G29" i="3"/>
  <c r="K29" i="3"/>
  <c r="Q29" i="3"/>
  <c r="E30" i="3"/>
  <c r="G30" i="3"/>
  <c r="K30" i="3"/>
  <c r="Q30" i="3"/>
  <c r="E31" i="3"/>
  <c r="G31" i="3"/>
  <c r="K31" i="3"/>
  <c r="Q31" i="3"/>
  <c r="E32" i="3"/>
  <c r="G32" i="3"/>
  <c r="K32" i="3"/>
  <c r="Q32" i="3"/>
  <c r="E33" i="3"/>
  <c r="G33" i="3"/>
  <c r="K33" i="3"/>
  <c r="Q33" i="3"/>
  <c r="E34" i="3"/>
  <c r="G34" i="3"/>
  <c r="K34" i="3"/>
  <c r="Q34" i="3"/>
  <c r="E35" i="3"/>
  <c r="G35" i="3"/>
  <c r="K35" i="3"/>
  <c r="Q35" i="3"/>
  <c r="E36" i="3"/>
  <c r="G36" i="3"/>
  <c r="K36" i="3"/>
  <c r="Q36" i="3"/>
  <c r="E37" i="3"/>
  <c r="G37" i="3"/>
  <c r="K37" i="3"/>
  <c r="Q37" i="3"/>
  <c r="Q2" i="3"/>
  <c r="K2" i="3"/>
  <c r="G2" i="3"/>
  <c r="E2" i="3"/>
  <c r="E10" i="1" l="1"/>
  <c r="E11" i="1"/>
  <c r="E12" i="1"/>
  <c r="E13" i="1"/>
  <c r="E14" i="1"/>
  <c r="E15" i="1"/>
  <c r="E16" i="1"/>
  <c r="E17" i="1"/>
  <c r="E19" i="1"/>
  <c r="E20" i="1"/>
  <c r="E21" i="1"/>
  <c r="E22" i="1"/>
  <c r="E23" i="1"/>
  <c r="E24" i="1"/>
  <c r="E25" i="1"/>
  <c r="E26" i="1"/>
  <c r="E27" i="1"/>
  <c r="E28" i="1"/>
  <c r="E29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9" i="1"/>
  <c r="C2" i="3" s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9" i="1"/>
  <c r="C14" i="3" l="1"/>
  <c r="C10" i="3"/>
  <c r="C6" i="3"/>
  <c r="C7" i="3"/>
  <c r="S7" i="1" l="1"/>
  <c r="S5" i="1"/>
  <c r="C3" i="3"/>
  <c r="C4" i="3"/>
  <c r="C5" i="3"/>
  <c r="C8" i="3"/>
  <c r="C9" i="3"/>
  <c r="C11" i="3"/>
  <c r="C12" i="3"/>
  <c r="C13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9" i="1"/>
  <c r="J10" i="1"/>
  <c r="J11" i="1"/>
  <c r="J12" i="1"/>
  <c r="J13" i="1"/>
  <c r="J14" i="1"/>
  <c r="J15" i="1"/>
  <c r="J16" i="1"/>
  <c r="J17" i="1"/>
  <c r="J18" i="1"/>
  <c r="J19" i="1"/>
  <c r="J20" i="1"/>
  <c r="J9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C9" i="1" l="1"/>
  <c r="C36" i="1"/>
  <c r="C42" i="1"/>
  <c r="C28" i="1"/>
  <c r="C27" i="1"/>
  <c r="C26" i="1"/>
  <c r="C40" i="1"/>
  <c r="C37" i="1"/>
  <c r="C34" i="1"/>
  <c r="C32" i="1"/>
  <c r="C30" i="1"/>
  <c r="C24" i="1"/>
  <c r="C22" i="1"/>
  <c r="C21" i="1"/>
  <c r="C18" i="1"/>
  <c r="C15" i="1"/>
  <c r="C14" i="1"/>
  <c r="C12" i="1"/>
  <c r="C10" i="1"/>
  <c r="C44" i="1"/>
  <c r="C43" i="1"/>
  <c r="C38" i="1"/>
  <c r="C35" i="1"/>
  <c r="C33" i="1"/>
  <c r="C31" i="1"/>
  <c r="C29" i="1"/>
  <c r="C23" i="1"/>
  <c r="C19" i="1"/>
  <c r="C17" i="1"/>
  <c r="C16" i="1"/>
  <c r="C11" i="1"/>
  <c r="C41" i="1"/>
  <c r="C25" i="1"/>
  <c r="C13" i="1"/>
  <c r="C39" i="1"/>
  <c r="C20" i="1"/>
  <c r="O37" i="3" l="1"/>
  <c r="I37" i="3"/>
  <c r="D36" i="1" s="1"/>
  <c r="I36" i="3"/>
  <c r="O36" i="3"/>
  <c r="I35" i="3"/>
  <c r="D37" i="1" s="1"/>
  <c r="O35" i="3"/>
  <c r="I34" i="3"/>
  <c r="O34" i="3"/>
  <c r="O33" i="3"/>
  <c r="I33" i="3"/>
  <c r="I32" i="3"/>
  <c r="O32" i="3"/>
  <c r="O31" i="3"/>
  <c r="I31" i="3"/>
  <c r="I30" i="3"/>
  <c r="O30" i="3"/>
  <c r="O29" i="3"/>
  <c r="I29" i="3"/>
  <c r="D34" i="1" s="1"/>
  <c r="I28" i="3"/>
  <c r="O28" i="3"/>
  <c r="O27" i="3"/>
  <c r="I27" i="3"/>
  <c r="I26" i="3"/>
  <c r="O26" i="3"/>
  <c r="O25" i="3"/>
  <c r="I25" i="3"/>
  <c r="D35" i="1" s="1"/>
  <c r="O24" i="3"/>
  <c r="I24" i="3"/>
  <c r="I23" i="3"/>
  <c r="O23" i="3"/>
  <c r="I22" i="3"/>
  <c r="O22" i="3"/>
  <c r="I21" i="3"/>
  <c r="O21" i="3"/>
  <c r="I20" i="3"/>
  <c r="B20" i="3" s="1"/>
  <c r="O20" i="3"/>
  <c r="O19" i="3"/>
  <c r="I19" i="3"/>
  <c r="I18" i="3"/>
  <c r="O18" i="3"/>
  <c r="I17" i="3"/>
  <c r="O17" i="3"/>
  <c r="I16" i="3"/>
  <c r="O16" i="3"/>
  <c r="I15" i="3"/>
  <c r="O15" i="3"/>
  <c r="I14" i="3"/>
  <c r="O14" i="3"/>
  <c r="I13" i="3"/>
  <c r="O13" i="3"/>
  <c r="O12" i="3"/>
  <c r="I12" i="3"/>
  <c r="O11" i="3"/>
  <c r="I11" i="3"/>
  <c r="I10" i="3"/>
  <c r="O10" i="3"/>
  <c r="O9" i="3"/>
  <c r="I9" i="3"/>
  <c r="O8" i="3"/>
  <c r="I8" i="3"/>
  <c r="I7" i="3"/>
  <c r="O7" i="3"/>
  <c r="I6" i="3"/>
  <c r="O6" i="3"/>
  <c r="I5" i="3"/>
  <c r="B5" i="3" s="1"/>
  <c r="O5" i="3"/>
  <c r="I4" i="3"/>
  <c r="O4" i="3"/>
  <c r="I3" i="3"/>
  <c r="O3" i="3"/>
  <c r="O2" i="3"/>
  <c r="I2" i="3"/>
  <c r="B21" i="3" l="1"/>
  <c r="D28" i="1" s="1"/>
  <c r="B17" i="3"/>
  <c r="D24" i="1" s="1"/>
  <c r="B16" i="3"/>
  <c r="D23" i="1" s="1"/>
  <c r="B19" i="3"/>
  <c r="D26" i="1" s="1"/>
  <c r="B13" i="3"/>
  <c r="D20" i="1" s="1"/>
  <c r="B3" i="3"/>
  <c r="D10" i="1" s="1"/>
  <c r="B14" i="3"/>
  <c r="D21" i="1" s="1"/>
  <c r="B10" i="3"/>
  <c r="D17" i="1" s="1"/>
  <c r="B2" i="3"/>
  <c r="B15" i="3"/>
  <c r="D22" i="1" s="1"/>
  <c r="B8" i="3"/>
  <c r="B12" i="3"/>
  <c r="D19" i="1" s="1"/>
  <c r="D29" i="1"/>
  <c r="B18" i="3"/>
  <c r="D25" i="1" s="1"/>
  <c r="B4" i="3"/>
  <c r="B6" i="3"/>
  <c r="D27" i="1"/>
  <c r="B11" i="3"/>
  <c r="D18" i="1" s="1"/>
  <c r="B9" i="3"/>
  <c r="D16" i="1" s="1"/>
  <c r="D38" i="1"/>
  <c r="B7" i="3"/>
  <c r="D40" i="1"/>
  <c r="D32" i="1"/>
  <c r="D30" i="1"/>
  <c r="D43" i="1"/>
  <c r="D31" i="1"/>
  <c r="D44" i="1"/>
  <c r="D42" i="1"/>
  <c r="D41" i="1"/>
  <c r="D33" i="1"/>
  <c r="D39" i="1"/>
  <c r="D12" i="1"/>
  <c r="D13" i="1" l="1"/>
  <c r="D14" i="1"/>
  <c r="D11" i="1"/>
  <c r="D9" i="1"/>
  <c r="D15" i="1"/>
</calcChain>
</file>

<file path=xl/sharedStrings.xml><?xml version="1.0" encoding="utf-8"?>
<sst xmlns="http://schemas.openxmlformats.org/spreadsheetml/2006/main" count="394" uniqueCount="113">
  <si>
    <t>검색 단어</t>
    <phoneticPr fontId="1" type="noConversion"/>
  </si>
  <si>
    <t>URL</t>
    <phoneticPr fontId="1" type="noConversion"/>
  </si>
  <si>
    <t>제목</t>
    <phoneticPr fontId="1" type="noConversion"/>
  </si>
  <si>
    <t>가격</t>
    <phoneticPr fontId="1" type="noConversion"/>
  </si>
  <si>
    <t>리뷰</t>
    <phoneticPr fontId="1" type="noConversion"/>
  </si>
  <si>
    <t>제품코드</t>
    <phoneticPr fontId="1" type="noConversion"/>
  </si>
  <si>
    <t>제품주소</t>
    <phoneticPr fontId="1" type="noConversion"/>
  </si>
  <si>
    <t>채널아이디</t>
    <phoneticPr fontId="1" type="noConversion"/>
  </si>
  <si>
    <t>파트너스코드</t>
    <phoneticPr fontId="1" type="noConversion"/>
  </si>
  <si>
    <t>제품코드2</t>
    <phoneticPr fontId="1" type="noConversion"/>
  </si>
  <si>
    <t>광고?</t>
    <phoneticPr fontId="1" type="noConversion"/>
  </si>
  <si>
    <t>드레그 복사후 붙여넣으세요</t>
    <phoneticPr fontId="1" type="noConversion"/>
  </si>
  <si>
    <t xml:space="preserve">후원계좌 : (기업)  </t>
    <phoneticPr fontId="1" type="noConversion"/>
  </si>
  <si>
    <t xml:space="preserve"> (이*훈)</t>
    <phoneticPr fontId="1" type="noConversion"/>
  </si>
  <si>
    <t>https://open.kakao.com/o/gzUumOdc</t>
    <phoneticPr fontId="1" type="noConversion"/>
  </si>
  <si>
    <t>문의 및 정보교류 
오픈카톡</t>
    <phoneticPr fontId="1" type="noConversion"/>
  </si>
  <si>
    <t>https://blog.naver.com/hellprone</t>
    <phoneticPr fontId="1" type="noConversion"/>
  </si>
  <si>
    <t>티스토리홍보1</t>
    <phoneticPr fontId="1" type="noConversion"/>
  </si>
  <si>
    <t>블로그홍보</t>
    <phoneticPr fontId="1" type="noConversion"/>
  </si>
  <si>
    <t>티스토리홍보2</t>
    <phoneticPr fontId="1" type="noConversion"/>
  </si>
  <si>
    <t>https://hestal.tistory.com/</t>
    <phoneticPr fontId="1" type="noConversion"/>
  </si>
  <si>
    <t>https://sinsangsa.tistory.com/</t>
  </si>
  <si>
    <t>← 검색어 입력</t>
    <phoneticPr fontId="1" type="noConversion"/>
  </si>
  <si>
    <t>쿠팡파트너스제휴링크</t>
    <phoneticPr fontId="1" type="noConversion"/>
  </si>
  <si>
    <t>HTML 적용코드</t>
    <phoneticPr fontId="1" type="noConversion"/>
  </si>
  <si>
    <t>블로그나 티스토리 HTML 영역에 붙여넣기</t>
    <phoneticPr fontId="1" type="noConversion"/>
  </si>
  <si>
    <t>여행링크</t>
    <phoneticPr fontId="1" type="noConversion"/>
  </si>
  <si>
    <t>쿠팡링크</t>
    <phoneticPr fontId="1" type="noConversion"/>
  </si>
  <si>
    <t>← 해당하는 쿠팡파트너스채널을 반드시 등록해야 합니다(클릭시 채널아이디 등록방법)</t>
    <phoneticPr fontId="1" type="noConversion"/>
  </si>
  <si>
    <t>← 본인 파트너스 ID코드를 입력하세요(추천인 등록해주시면 고맙습니다)</t>
    <phoneticPr fontId="1" type="noConversion"/>
  </si>
  <si>
    <t>이미지</t>
    <phoneticPr fontId="1" type="noConversion"/>
  </si>
  <si>
    <t>순위수정</t>
    <phoneticPr fontId="1" type="noConversion"/>
  </si>
  <si>
    <t>광고</t>
    <phoneticPr fontId="1" type="noConversion"/>
  </si>
  <si>
    <t>제목</t>
    <phoneticPr fontId="1" type="noConversion"/>
  </si>
  <si>
    <t>가격</t>
    <phoneticPr fontId="1" type="noConversion"/>
  </si>
  <si>
    <t>후기</t>
    <phoneticPr fontId="1" type="noConversion"/>
  </si>
  <si>
    <t>드레그 복사후 붙여넣으세요
(HTML 코드)</t>
    <phoneticPr fontId="1" type="noConversion"/>
  </si>
  <si>
    <t>구분</t>
    <phoneticPr fontId="1" type="noConversion"/>
  </si>
  <si>
    <t>가격2</t>
    <phoneticPr fontId="1" type="noConversion"/>
  </si>
  <si>
    <t>제작자 : hellprone</t>
    <phoneticPr fontId="1" type="noConversion"/>
  </si>
  <si>
    <t>쿠파엑L5(쿠팡파트너스엑셀HTML링크생성기-Coupang Partners Excel HTML Link Generator)</t>
    <phoneticPr fontId="1" type="noConversion"/>
  </si>
  <si>
    <t>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</t>
  </si>
  <si>
    <t>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</t>
  </si>
  <si>
    <t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</t>
  </si>
  <si>
    <t>" target="_blank" class="con_link"&gt;&lt;img src="</t>
  </si>
  <si>
    <t>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</t>
  </si>
  <si>
    <t>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</t>
  </si>
  <si>
    <t>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</t>
  </si>
  <si>
    <t>)&lt;/span&gt;&lt;/a&gt;&lt;/span&gt;&lt;/p&gt;&lt;/td&gt;&lt;/tr&gt;&lt;/tbody&gt;&lt;/table&gt;</t>
    <phoneticPr fontId="13" type="noConversion"/>
  </si>
  <si>
    <t>기존순위</t>
    <phoneticPr fontId="1" type="noConversion"/>
  </si>
  <si>
    <t>검색 한도(최대 36)</t>
    <phoneticPr fontId="1" type="noConversion"/>
  </si>
  <si>
    <t>AF9099466</t>
    <phoneticPr fontId="1" type="noConversion"/>
  </si>
  <si>
    <t>jdh5202</t>
    <phoneticPr fontId="1" type="noConversion"/>
  </si>
  <si>
    <t>고추장불고기,김치주먹밥,곤드레나물밥,돼지국밥,김치볶음밥,김치쌈밥,농어초밥,새우케밥,류산슬덮밥,멍게비빔밥,멸치주먹밥,묵밥,문어초밥,볶음밥,불고기덮밥</t>
    <phoneticPr fontId="1" type="noConversion"/>
  </si>
  <si>
    <t>마이닭 닭가슴살 구운 주먹밥 100g 3종 혼합, 02_닭가슴살 주먹밥 3종혼합 12팩 (각4팩)</t>
  </si>
  <si>
    <t>https://www.coupang.com/vp/products/5510130376?itemId=8586130489&amp;vendorItemId=75873428401&amp;sourceType=srp_product_ads&amp;clickEventId=691a5224-227f-4a06-a089-5a64bfc8e824&amp;korePlacement=15&amp;koreSubPlacement=1&amp;clickEventId=691a5224-227f-4a06-a089-5a64bfc8e824&amp;korePlacement=15&amp;koreSubPlacement=1&amp;q=%EB%B6%88%EA%B3%A0%EA%B8%B0%EB%8D%AE%EB%B0%A5&amp;itemsCount=36&amp;searchId=30730661a8fe4b7f8a8d75349c04e55f&amp;rank=0</t>
  </si>
  <si>
    <t>햇반 컵반 직화 불고기 덮밥, 250g, 18개</t>
    <phoneticPr fontId="1" type="noConversion"/>
  </si>
  <si>
    <t>https://www.coupang.com/vp/products/1365646493?itemId=2397712633&amp;vendorItemId=76395149672&amp;q=%EB%B6%88%EA%B3%A0%EA%B8%B0%EB%8D%AE%EB%B0%A5&amp;itemsCount=36&amp;searchId=30730661a8fe4b7f8a8d75349c04e55f&amp;rank=1</t>
    <phoneticPr fontId="1" type="noConversion"/>
  </si>
  <si>
    <t>복천식품 소고기가 풍부한 미친 소불고기 덮밥 12팩, 180g</t>
  </si>
  <si>
    <t>https://www.coupang.com/vp/products/4559619989?itemId=5551458379&amp;vendorItemId=78520237631&amp;q=%EB%B6%88%EA%B3%A0%EA%B8%B0%EB%8D%AE%EB%B0%A5&amp;itemsCount=36&amp;searchId=30730661a8fe4b7f8a8d75349c04e55f&amp;rank=2</t>
  </si>
  <si>
    <t>오뚜기 맛있는 컵밥 오삼불고기덮밥, 280g, 12개</t>
  </si>
  <si>
    <t>https://www.coupang.com/vp/products/59119541?itemId=41577124&amp;vendorItemId=3063794528&amp;pickType=COU_PICK&amp;q=%EB%B6%88%EA%B3%A0%EA%B8%B0%EB%8D%AE%EB%B0%A5&amp;itemsCount=36&amp;searchId=30730661a8fe4b7f8a8d75349c04e55f&amp;rank=3</t>
  </si>
  <si>
    <t>티아시아키친 치킨 마크니 커리 170g + 게살 푸팟퐁 커리 170g + 비프 마살라 커리 170g + 스파이시 비프 마살라 커리 170g 세트, 1세트</t>
  </si>
  <si>
    <t>https://www.coupang.com/vp/products/5353216928?itemId=7879001480&amp;vendorItemId=75168546266&amp;sourceType=srp_product_ads&amp;clickEventId=796f50c3-c0e6-4d87-bee9-ab17d1a77b86&amp;korePlacement=15&amp;koreSubPlacement=5&amp;clickEventId=796f50c3-c0e6-4d87-bee9-ab17d1a77b86&amp;korePlacement=15&amp;koreSubPlacement=5&amp;q=%EB%B6%88%EA%B3%A0%EA%B8%B0%EB%8D%AE%EB%B0%A5&amp;itemsCount=36&amp;searchId=30730661a8fe4b7f8a8d75349c04e55f&amp;rank=4</t>
  </si>
  <si>
    <t>CJ햇반 간편식 컵밥 덮밥 26종류 미역 황태 제육 카레, CJ불고기덮밥</t>
    <phoneticPr fontId="1" type="noConversion"/>
  </si>
  <si>
    <t>https://www.coupang.com/vp/products/320621624?itemId=1026027735&amp;vendorItemId=5531504529&amp;sourceType=srp_product_ads&amp;clickEventId=91d0ed69-9bac-4b5f-998a-1021555baffe&amp;korePlacement=15&amp;koreSubPlacement=6&amp;clickEventId=91d0ed69-9bac-4b5f-998a-1021555baffe&amp;korePlacement=15&amp;koreSubPlacement=6&amp;q=%EB%B6%88%EA%B3%A0%EA%B8%B0%EB%8D%AE%EB%B0%A5&amp;itemsCount=36&amp;searchId=30730661a8fe4b7f8a8d75349c04e55f&amp;rank=5</t>
    <phoneticPr fontId="1" type="noConversion"/>
  </si>
  <si>
    <t>오뚜기 뚝배기 불고기밥 컵밥, 290g, 12개</t>
  </si>
  <si>
    <t>https://www.coupang.com/vp/products/25419881?itemId=98896879&amp;vendorItemId=3180508127&amp;q=%EB%B6%88%EA%B3%A0%EA%B8%B0%EB%8D%AE%EB%B0%A5&amp;itemsCount=36&amp;searchId=30730661a8fe4b7f8a8d75349c04e55f&amp;rank=6</t>
  </si>
  <si>
    <t>CJ제일제당 햇반 컵반X6개(18종 중 택1)/컵밥/간편식, 17.햇반 컵반 불고기덮밥X6개</t>
  </si>
  <si>
    <t>https://www.coupang.com/vp/products/95752302?itemId=295278470&amp;vendorItemId=5547092348&amp;q=%EB%B6%88%EA%B3%A0%EA%B8%B0%EB%8D%AE%EB%B0%A5&amp;itemsCount=36&amp;searchId=30730661a8fe4b7f8a8d75349c04e55f&amp;rank=7</t>
  </si>
  <si>
    <t>CJ햇반 간편식 컵밥 덮밥 26종류 미역 황태 제육 카레, 스팸마요덮밥</t>
    <phoneticPr fontId="1" type="noConversion"/>
  </si>
  <si>
    <t>https://www.coupang.com/vp/products/2047580940?itemId=3480775325&amp;vendorItemId=5531504397&amp;sourceType=srp_product_ads&amp;clickEventId=23077584-382d-4885-b2c6-557b03000440&amp;korePlacement=15&amp;koreSubPlacement=9&amp;clickEventId=23077584-382d-4885-b2c6-557b03000440&amp;korePlacement=15&amp;koreSubPlacement=9&amp;q=%EB%B6%88%EA%B3%A0%EA%B8%B0%EB%8D%AE%EB%B0%A5&amp;itemsCount=36&amp;searchId=30730661a8fe4b7f8a8d75349c04e55f&amp;rank=8</t>
    <phoneticPr fontId="1" type="noConversion"/>
  </si>
  <si>
    <t>햇반 컵반 직화 불고기 덮밥, 250g, 5개</t>
  </si>
  <si>
    <t>https://www.coupang.com/vp/products/1365646493?itemId=3404436466&amp;vendorItemId=76395149724&amp;q=%EB%B6%88%EA%B3%A0%EA%B8%B0%EB%8D%AE%EB%B0%A5&amp;itemsCount=36&amp;searchId=30730661a8fe4b7f8a8d75349c04e55f&amp;rank=9</t>
  </si>
  <si>
    <t>피코크 밥 한그릇 뚝딱 불고기덮밥소스 130g, 1개</t>
  </si>
  <si>
    <t>https://www.coupang.com/vp/products/1696221795?itemId=2887423507&amp;vendorItemId=73671647632&amp;q=%EB%B6%88%EA%B3%A0%EA%B8%B0%EB%8D%AE%EB%B0%A5&amp;itemsCount=36&amp;searchId=30730661a8fe4b7f8a8d75349c04e55f&amp;rank=10</t>
  </si>
  <si>
    <t>햇반 컵반 직화불고기덮밥 257g, 5개</t>
  </si>
  <si>
    <t>https://www.coupang.com/vp/products/5225821361?itemId=7344471569&amp;vendorItemId=74635680824&amp;q=%EB%B6%88%EA%B3%A0%EA%B8%B0%EB%8D%AE%EB%B0%A5&amp;itemsCount=36&amp;searchId=30730661a8fe4b7f8a8d75349c04e55f&amp;rank=11</t>
  </si>
  <si>
    <t>오뚜기 컵밥 증량Up! 6종 세트 (차돌강된장보리밥+제육덮밥+오삼불고기덮밥+춘천닭갈비덮밥+매콤낙지덮밥+서울식설렁탕) + 블루존물티슈, 1세트</t>
  </si>
  <si>
    <t>https://www.coupang.com/vp/products/5677767334?itemId=9368762033&amp;vendorItemId=76653955567&amp;q=%EB%B6%88%EA%B3%A0%EA%B8%B0%EB%8D%AE%EB%B0%A5&amp;itemsCount=36&amp;searchId=30730661a8fe4b7f8a8d75349c04e55f&amp;rank=12</t>
  </si>
  <si>
    <t>컵반 직화불고기덮밥250g 4입</t>
  </si>
  <si>
    <t>https://www.coupang.com/vp/products/4952281239?itemId=6544892030&amp;vendorItemId=78302317701&amp;q=%EB%B6%88%EA%B3%A0%EA%B8%B0%EB%8D%AE%EB%B0%A5&amp;itemsCount=36&amp;searchId=30730661a8fe4b7f8a8d75349c04e55f&amp;rank=13</t>
  </si>
  <si>
    <t>더빱 덮밥소스 소불고기 210g x 5봉 컵밥 전자렌지간편식</t>
  </si>
  <si>
    <t>https://www.coupang.com/vp/products/226324078?itemId=717049857&amp;vendorItemId=4815148797&amp;q=%EB%B6%88%EA%B3%A0%EA%B8%B0%EB%8D%AE%EB%B0%A5&amp;itemsCount=36&amp;searchId=30730661a8fe4b7f8a8d75349c04e55f&amp;rank=14</t>
  </si>
  <si>
    <t>CJ 컵반 철판제육덮밥3개+직화짜장덮밥3개+직화불고기덮밥3개+미역국밥3개, CJ컵반 제육덮밥+직화짜장+직화불고기+미역3개씩</t>
  </si>
  <si>
    <t>https://www.coupang.com/vp/products/5780402980?itemId=9848772339&amp;vendorItemId=77132208274&amp;q=%EB%B6%88%EA%B3%A0%EA%B8%B0%EB%8D%AE%EB%B0%A5&amp;itemsCount=36&amp;searchId=30730661a8fe4b7f8a8d75349c04e55f&amp;rank=15</t>
  </si>
  <si>
    <t>CJ컵반 CJ햇반 컵반 불고기덮밥 250g 컵밥 국밥 즉석밥 간편식, 1개</t>
  </si>
  <si>
    <t>https://www.coupang.com/vp/products/293461210?itemId=926535428&amp;vendorItemId=5543820019&amp;q=%EB%B6%88%EA%B3%A0%EA%B8%B0%EB%8D%AE%EB%B0%A5&amp;itemsCount=36&amp;searchId=30730661a8fe4b7f8a8d75349c04e55f&amp;rank=16</t>
  </si>
  <si>
    <t>햇반 컵반 직화불고기덮밥 257g, 12개</t>
  </si>
  <si>
    <t>https://www.coupang.com/vp/products/5225821361?itemId=7344471557&amp;vendorItemId=74635680782&amp;q=%EB%B6%88%EA%B3%A0%EA%B8%B0%EB%8D%AE%EB%B0%A5&amp;itemsCount=36&amp;searchId=30730661a8fe4b7f8a8d75349c04e55f&amp;rank=17</t>
  </si>
  <si>
    <t>추천상품 무배)오뚜기 컵밥 오삼불고기덮밥(280g_12EA), 단일상품(RVU4548)</t>
  </si>
  <si>
    <t>https://www.coupang.com/vp/products/4390078347?itemId=5201692982&amp;vendorItemId=73258619991&amp;q=%EB%B6%88%EA%B3%A0%EA%B8%B0%EB%8D%AE%EB%B0%A5&amp;itemsCount=36&amp;searchId=30730661a8fe4b7f8a8d75349c04e55f&amp;rank=18</t>
  </si>
  <si>
    <t>덮밥 7종세트 닭고기 제육 소고기 오징어 오삼불고기 덮밥소스 간편식 냉동식품 혼밥메뉴, 7종 덮밥 세트</t>
  </si>
  <si>
    <t>https://www.coupang.com/vp/products/4823270543?itemId=6216194386&amp;vendorItemId=73472796272&amp;q=%EB%B6%88%EA%B3%A0%EA%B8%B0%EB%8D%AE%EB%B0%A5&amp;itemsCount=36&amp;searchId=30730661a8fe4b7f8a8d75349c04e55f&amp;rank=19</t>
  </si>
  <si>
    <t>https://thumbnail8.coupangcdn.com/thumbnails/remote/230x230ex/image/vendor_inventory/68e6/5bf25d835d3f00d7504ab1367312f0319816d4df31c449a2600c1a8718b7.jpg</t>
  </si>
  <si>
    <t>https://thumbnail6.coupangcdn.com/thumbnails/remote/230x230ex/image/vendor_inventory/3b7b/f18dfd2ba5b60567fb8541fdff7985f9bc35b80af6ef6e8af216bb95a470.jpg</t>
    <phoneticPr fontId="1" type="noConversion"/>
  </si>
  <si>
    <t>https://thumbnail10.coupangcdn.com/thumbnails/remote/230x230ex/image/vendor_inventory/6ebe/c2fdeee26d7fd6ece82ef28c5b895990b0cd5a918e94777b8b5b377c722c.jpg</t>
  </si>
  <si>
    <t>https://thumbnail7.coupangcdn.com/thumbnails/remote/230x230ex/image/retail/images/769745136041229-5eabc0c1-b309-45dc-bd48-81ec05d4b3b8.jpg</t>
  </si>
  <si>
    <t>https://thumbnail10.coupangcdn.com/thumbnails/remote/230x230ex/image/retail/images/873371476681197-db5eacfb-7663-4729-a7ea-805a09ce6de3.png</t>
  </si>
  <si>
    <t>https://thumbnail9.coupangcdn.com/thumbnails/remote/230x230ex/image/vendor_inventory/ed88/b8ce29a9258cdf702162b41326b8173df763be5bbf7256cb91fe2071ad47.jpg</t>
    <phoneticPr fontId="1" type="noConversion"/>
  </si>
  <si>
    <t>https://thumbnail10.coupangcdn.com/thumbnails/remote/230x230ex/image/retail/images/176014076351882-06f25933-997a-4c78-91bf-277ab1dec65a.jpg</t>
  </si>
  <si>
    <t>https://thumbnail8.coupangcdn.com/thumbnails/remote/230x230ex/image/vendor_inventory/images/2018/05/29/11/9/0544db11-f702-44de-81a4-55dd9e0893c2.jpg</t>
  </si>
  <si>
    <t>https://thumbnail6.coupangcdn.com/thumbnails/remote/230x230ex/image/vendor_inventory/def7/ae7ca678baa96eba529131000b929e0f34867f7d990978c696835c7ec6fd.jpg</t>
  </si>
  <si>
    <t>https://thumbnail7.coupangcdn.com/thumbnails/remote/230x230ex/image/vendor_inventory/55f4/baca5e90e76016ebef86a3bb6ce6d47297344b6fb3960af8cef364be1a59.jpg</t>
  </si>
  <si>
    <t>https://thumbnail6.coupangcdn.com/thumbnails/remote/230x230ex/image/vendor_inventory/5154/623ee2465de7f428a73d0af6320774df63d61f2d392efc46da77c67e0c5c.png</t>
  </si>
  <si>
    <t>https://thumbnail6.coupangcdn.com/thumbnails/remote/230x230ex/image/vendor_inventory/f997/05df6b0980856aa383152f7b427f179565b89bad1740b134c8ebfde29e08.jpg</t>
  </si>
  <si>
    <t>https://thumbnail10.coupangcdn.com/thumbnails/remote/230x230ex/image/vendor_inventory/cee8/941ec36f1fabc2d13103678e1635f15095eae0ccd547993d4294a47befa6.jpg</t>
  </si>
  <si>
    <t>https://thumbnail8.coupangcdn.com/thumbnails/remote/230x230ex/image/vendor_inventory/aa9e/53b6ea2d81c1e88a7f594ad59742b582854c6af821d72cc4bf86c3c4eac3.jpg</t>
  </si>
  <si>
    <t>https://thumbnail9.coupangcdn.com/thumbnails/remote/230x230ex/image/vendor_inventory/a13b/993e967011da734be9552cb2fa3f9bea626c8925347b8dd0415e31a445e4.jpg</t>
  </si>
  <si>
    <t>https://thumbnail9.coupangcdn.com/thumbnails/remote/230x230ex/image/vendor_inventory/d30c/c26f6ec2cc4a25abccc380cb6a09f493366a8db7bb44cb86c55a12bd5ae6.jpg</t>
  </si>
  <si>
    <t>https://thumbnail7.coupangcdn.com/thumbnails/remote/230x230ex/image/vendor_inventory/9fdd/37cf0a934d1cc5ef7cb74a26435fb4ef5bc0c653e31e45538ea518aafb7c.png</t>
  </si>
  <si>
    <t>https://thumbnail6.coupangcdn.com/thumbnails/remote/230x230ex/image/vendor_inventory/cb82/c150e592bd5cf1052566ce015061e57994c2b34d5f20535a370bce2d6c6a.jpg</t>
  </si>
  <si>
    <t>https://thumbnail10.coupangcdn.com/thumbnails/remote/230x230ex/image/vendor_inventory/d100/c25dd8f5ed0b58ed7f9737d2db66f97889d7db506cfc5efe480b007078f7.jpg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</si>
</sst>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);[Red]\(0\)"/>
    <numFmt numFmtId="177" formatCode="0_);\(0\)"/>
    <numFmt numFmtId="178" formatCode="000\-000"/>
  </numFmts>
  <fonts count="16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b/>
      <sz val="14"/>
      <color rgb="FFFFFF00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1"/>
      <color rgb="FFFFC0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11"/>
      <color rgb="FF7030A0"/>
      <name val="맑은 고딕"/>
      <family val="3"/>
      <charset val="129"/>
      <scheme val="minor"/>
    </font>
    <font>
      <b/>
      <sz val="14"/>
      <color rgb="FFC0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18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/>
      <diagonal/>
    </border>
    <border>
      <left style="medium">
        <color rgb="FF00B0F0"/>
      </left>
      <right style="medium">
        <color rgb="FF00B0F0"/>
      </right>
      <top/>
      <bottom/>
      <diagonal/>
    </border>
    <border>
      <left style="medium">
        <color rgb="FF00B0F0"/>
      </left>
      <right style="medium">
        <color rgb="FF00B0F0"/>
      </right>
      <top/>
      <bottom style="medium">
        <color rgb="FF00B0F0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5" fillId="0" borderId="0" xfId="3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left" vertical="center"/>
    </xf>
    <xf numFmtId="176" fontId="0" fillId="0" borderId="0" xfId="0" applyNumberFormat="1">
      <alignment vertical="center"/>
    </xf>
    <xf numFmtId="176" fontId="0" fillId="0" borderId="0" xfId="0" applyNumberFormat="1" applyBorder="1" applyAlignment="1">
      <alignment horizontal="left" vertical="center"/>
    </xf>
    <xf numFmtId="176" fontId="3" fillId="2" borderId="0" xfId="0" applyNumberFormat="1" applyFont="1" applyFill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>
      <alignment vertical="center"/>
    </xf>
    <xf numFmtId="177" fontId="2" fillId="0" borderId="0" xfId="1" applyNumberFormat="1" applyFont="1" applyAlignment="1">
      <alignment vertical="center"/>
    </xf>
    <xf numFmtId="0" fontId="0" fillId="0" borderId="0" xfId="0" applyFill="1">
      <alignment vertical="center"/>
    </xf>
    <xf numFmtId="0" fontId="3" fillId="2" borderId="2" xfId="0" applyFont="1" applyFill="1" applyBorder="1">
      <alignment vertical="center"/>
    </xf>
    <xf numFmtId="0" fontId="4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8" fillId="0" borderId="1" xfId="0" applyFont="1" applyBorder="1">
      <alignment vertical="center"/>
    </xf>
    <xf numFmtId="0" fontId="8" fillId="0" borderId="1" xfId="0" applyFont="1" applyBorder="1" applyAlignment="1">
      <alignment horizontal="left" vertical="center"/>
    </xf>
    <xf numFmtId="0" fontId="9" fillId="0" borderId="0" xfId="0" applyFont="1" applyBorder="1">
      <alignment vertical="center"/>
    </xf>
    <xf numFmtId="178" fontId="0" fillId="0" borderId="1" xfId="0" applyNumberFormat="1" applyBorder="1" applyAlignment="1">
      <alignment vertical="center" shrinkToFit="1"/>
    </xf>
    <xf numFmtId="0" fontId="10" fillId="5" borderId="5" xfId="0" applyFont="1" applyFill="1" applyBorder="1">
      <alignment vertical="center"/>
    </xf>
    <xf numFmtId="176" fontId="4" fillId="5" borderId="5" xfId="2" applyNumberFormat="1" applyFont="1" applyFill="1" applyBorder="1" applyAlignment="1">
      <alignment horizontal="left" vertical="center"/>
    </xf>
    <xf numFmtId="0" fontId="10" fillId="5" borderId="5" xfId="0" applyFont="1" applyFill="1" applyBorder="1" applyAlignment="1">
      <alignment vertical="center" wrapText="1"/>
    </xf>
    <xf numFmtId="0" fontId="5" fillId="5" borderId="5" xfId="3" applyFill="1" applyBorder="1">
      <alignment vertical="center"/>
    </xf>
    <xf numFmtId="0" fontId="11" fillId="5" borderId="5" xfId="0" applyFont="1" applyFill="1" applyBorder="1" applyProtection="1">
      <alignment vertical="center"/>
      <protection locked="0"/>
    </xf>
    <xf numFmtId="0" fontId="5" fillId="5" borderId="5" xfId="3" applyFill="1" applyBorder="1" applyAlignment="1" applyProtection="1">
      <alignment vertical="center" wrapText="1"/>
      <protection locked="0"/>
    </xf>
    <xf numFmtId="0" fontId="10" fillId="5" borderId="5" xfId="0" applyFont="1" applyFill="1" applyBorder="1" applyProtection="1">
      <alignment vertical="center"/>
      <protection locked="0"/>
    </xf>
    <xf numFmtId="0" fontId="12" fillId="0" borderId="1" xfId="0" applyFont="1" applyBorder="1">
      <alignment vertical="center"/>
    </xf>
    <xf numFmtId="0" fontId="5" fillId="0" borderId="0" xfId="3" applyBorder="1" applyAlignment="1">
      <alignment horizontal="left" vertical="center"/>
    </xf>
    <xf numFmtId="0" fontId="0" fillId="3" borderId="7" xfId="0" applyFill="1" applyBorder="1" applyAlignment="1">
      <alignment vertical="center"/>
    </xf>
    <xf numFmtId="0" fontId="0" fillId="0" borderId="7" xfId="0" applyBorder="1" applyAlignment="1">
      <alignment vertical="center"/>
    </xf>
    <xf numFmtId="3" fontId="0" fillId="0" borderId="0" xfId="0" applyNumberFormat="1" applyAlignment="1">
      <alignment vertical="center"/>
    </xf>
    <xf numFmtId="0" fontId="0" fillId="4" borderId="0" xfId="0" applyFill="1" applyAlignment="1">
      <alignment vertical="center"/>
    </xf>
    <xf numFmtId="177" fontId="0" fillId="4" borderId="0" xfId="1" applyNumberFormat="1" applyFont="1" applyFill="1" applyAlignment="1">
      <alignment vertical="center"/>
    </xf>
    <xf numFmtId="3" fontId="2" fillId="0" borderId="0" xfId="1" applyNumberFormat="1" applyFont="1" applyAlignment="1">
      <alignment vertical="center"/>
    </xf>
    <xf numFmtId="0" fontId="4" fillId="4" borderId="6" xfId="0" applyFont="1" applyFill="1" applyBorder="1" applyAlignment="1">
      <alignment vertical="center"/>
    </xf>
    <xf numFmtId="0" fontId="4" fillId="4" borderId="6" xfId="0" applyFont="1" applyFill="1" applyBorder="1" applyAlignment="1">
      <alignment vertical="center" wrapText="1"/>
    </xf>
    <xf numFmtId="0" fontId="0" fillId="0" borderId="0" xfId="0" quotePrefix="1" applyFill="1">
      <alignment vertical="center"/>
    </xf>
    <xf numFmtId="0" fontId="5" fillId="0" borderId="3" xfId="3" applyFill="1" applyBorder="1">
      <alignment vertical="center"/>
    </xf>
    <xf numFmtId="3" fontId="0" fillId="0" borderId="0" xfId="0" applyNumberFormat="1" applyFill="1">
      <alignment vertical="center"/>
    </xf>
    <xf numFmtId="41" fontId="2" fillId="0" borderId="0" xfId="1" applyFont="1" applyFill="1">
      <alignment vertical="center"/>
    </xf>
    <xf numFmtId="176" fontId="0" fillId="0" borderId="0" xfId="0" applyNumberFormat="1" applyFill="1">
      <alignment vertical="center"/>
    </xf>
    <xf numFmtId="0" fontId="5" fillId="0" borderId="4" xfId="3" applyFill="1" applyBorder="1">
      <alignment vertical="center"/>
    </xf>
    <xf numFmtId="0" fontId="0" fillId="0" borderId="0" xfId="0" applyFill="1" applyProtection="1">
      <alignment vertical="center"/>
    </xf>
    <xf numFmtId="0" fontId="3" fillId="2" borderId="0" xfId="0" applyFont="1" applyFill="1" applyProtection="1">
      <alignment vertical="center"/>
    </xf>
    <xf numFmtId="3" fontId="0" fillId="0" borderId="0" xfId="0" applyNumberFormat="1" applyFill="1" applyProtection="1">
      <alignment vertical="center"/>
    </xf>
    <xf numFmtId="0" fontId="0" fillId="0" borderId="0" xfId="0" applyBorder="1" applyAlignment="1">
      <alignment vertical="center"/>
    </xf>
    <xf numFmtId="0" fontId="10" fillId="5" borderId="0" xfId="0" applyFont="1" applyFill="1" applyBorder="1">
      <alignment vertical="center"/>
    </xf>
    <xf numFmtId="0" fontId="5" fillId="5" borderId="0" xfId="3" applyFill="1" applyBorder="1">
      <alignment vertical="center"/>
    </xf>
    <xf numFmtId="0" fontId="7" fillId="2" borderId="0" xfId="0" applyFont="1" applyFill="1" applyBorder="1" applyProtection="1">
      <alignment vertical="center"/>
    </xf>
    <xf numFmtId="0" fontId="8" fillId="0" borderId="1" xfId="0" applyFont="1" applyBorder="1" applyAlignment="1" applyProtection="1">
      <alignment horizontal="left" vertical="center"/>
    </xf>
    <xf numFmtId="0" fontId="14" fillId="0" borderId="0" xfId="3" applyFont="1" applyBorder="1" applyAlignment="1" applyProtection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5">
    <cellStyle name="쉼표 [0]" xfId="1" builtinId="6"/>
    <cellStyle name="표준" xfId="0" builtinId="0"/>
    <cellStyle name="표준 2" xfId="2" xr:uid="{00000000-0005-0000-0000-000002000000}"/>
    <cellStyle name="하이퍼링크" xfId="3" builtinId="8"/>
    <cellStyle name="하이퍼링크 2" xfId="4" xr:uid="{00000000-0005-0000-0000-000004000000}"/>
  </cellStyles>
  <dxfs count="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hyperlink" Target="https://coupa.ng/bo000v" TargetMode="External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1419225</xdr:colOff>
          <xdr:row>1</xdr:row>
          <xdr:rowOff>161925</xdr:rowOff>
        </xdr:from>
        <xdr:to>
          <xdr:col>6</xdr:col>
          <xdr:colOff>866775</xdr:colOff>
          <xdr:row>3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쿠팡 검색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57150</xdr:colOff>
      <xdr:row>1</xdr:row>
      <xdr:rowOff>196850</xdr:rowOff>
    </xdr:from>
    <xdr:to>
      <xdr:col>7</xdr:col>
      <xdr:colOff>1209675</xdr:colOff>
      <xdr:row>3</xdr:row>
      <xdr:rowOff>104775</xdr:rowOff>
    </xdr:to>
    <xdr:pic>
      <xdr:nvPicPr>
        <xdr:cNvPr id="1052" name="그림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65000" y="749300"/>
          <a:ext cx="1143000" cy="596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9</xdr:col>
      <xdr:colOff>914400</xdr:colOff>
      <xdr:row>72</xdr:row>
      <xdr:rowOff>28577</xdr:rowOff>
    </xdr:to>
    <xdr:pic>
      <xdr:nvPicPr>
        <xdr:cNvPr id="1053" name="그림 1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6950" y="11029950"/>
          <a:ext cx="9563100" cy="4984750"/>
        </a:xfrm>
        <a:prstGeom prst="rect">
          <a:avLst/>
        </a:prstGeom>
        <a:noFill/>
        <a:ln w="38100">
          <a:solidFill>
            <a:srgbClr val="00B0F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1320800</xdr:colOff>
      <xdr:row>48</xdr:row>
      <xdr:rowOff>177800</xdr:rowOff>
    </xdr:from>
    <xdr:to>
      <xdr:col>15</xdr:col>
      <xdr:colOff>614045</xdr:colOff>
      <xdr:row>72</xdr:row>
      <xdr:rowOff>33656</xdr:rowOff>
    </xdr:to>
    <xdr:pic>
      <xdr:nvPicPr>
        <xdr:cNvPr id="1054" name="그림 2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46450" y="10991850"/>
          <a:ext cx="5378450" cy="5035550"/>
        </a:xfrm>
        <a:prstGeom prst="rect">
          <a:avLst/>
        </a:prstGeom>
        <a:noFill/>
        <a:ln w="38100">
          <a:solidFill>
            <a:srgbClr val="00B0F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1306286</xdr:colOff>
      <xdr:row>44</xdr:row>
      <xdr:rowOff>169635</xdr:rowOff>
    </xdr:from>
    <xdr:to>
      <xdr:col>3</xdr:col>
      <xdr:colOff>1306286</xdr:colOff>
      <xdr:row>48</xdr:row>
      <xdr:rowOff>156029</xdr:rowOff>
    </xdr:to>
    <xdr:cxnSp macro="">
      <xdr:nvCxnSpPr>
        <xdr:cNvPr id="10" name="직선 화살표 연결선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7402286" y="9647464"/>
          <a:ext cx="0" cy="802822"/>
        </a:xfrm>
        <a:prstGeom prst="straightConnector1">
          <a:avLst/>
        </a:prstGeom>
        <a:ln w="38100">
          <a:solidFill>
            <a:srgbClr val="00B0F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918805</xdr:colOff>
      <xdr:row>60</xdr:row>
      <xdr:rowOff>97124</xdr:rowOff>
    </xdr:from>
    <xdr:to>
      <xdr:col>9</xdr:col>
      <xdr:colOff>1320725</xdr:colOff>
      <xdr:row>60</xdr:row>
      <xdr:rowOff>110712</xdr:rowOff>
    </xdr:to>
    <xdr:cxnSp macro="">
      <xdr:nvCxnSpPr>
        <xdr:cNvPr id="12" name="직선 화살표 연결선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>
          <a:stCxn id="1053" idx="3"/>
          <a:endCxn id="1054" idx="1"/>
        </xdr:cNvCxnSpPr>
      </xdr:nvCxnSpPr>
      <xdr:spPr>
        <a:xfrm flipV="1">
          <a:off x="15668948" y="12847017"/>
          <a:ext cx="408200" cy="13588"/>
        </a:xfrm>
        <a:prstGeom prst="straightConnector1">
          <a:avLst/>
        </a:prstGeom>
        <a:ln w="38100">
          <a:solidFill>
            <a:srgbClr val="00B0F0"/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68037</xdr:colOff>
      <xdr:row>0</xdr:row>
      <xdr:rowOff>911679</xdr:rowOff>
    </xdr:from>
    <xdr:to>
      <xdr:col>1</xdr:col>
      <xdr:colOff>2684319</xdr:colOff>
      <xdr:row>37</xdr:row>
      <xdr:rowOff>149530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08142" y="911679"/>
          <a:ext cx="2618187" cy="8109708"/>
          <a:chOff x="1047063" y="839238"/>
          <a:chExt cx="3279321" cy="7424940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651109" y="6376982"/>
            <a:ext cx="1958940" cy="1887196"/>
          </a:xfrm>
          <a:prstGeom prst="rect">
            <a:avLst/>
          </a:prstGeom>
          <a:solidFill>
            <a:srgbClr val="FFFFFF">
              <a:alpha val="69804"/>
            </a:srgb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ctr"/>
            <a:r>
              <a:rPr lang="ko-KR" altLang="en-US" sz="1100">
                <a:solidFill>
                  <a:srgbClr val="0070C0"/>
                </a:solidFill>
              </a:rPr>
              <a:t>필요한 만큼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드레그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복사하세요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en-US" altLang="ko-KR" sz="1100">
                <a:solidFill>
                  <a:srgbClr val="0070C0"/>
                </a:solidFill>
              </a:rPr>
              <a:t>(Ctrl+C)</a:t>
            </a: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필요없는 리스트는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행 삭제</a:t>
            </a:r>
            <a:r>
              <a:rPr lang="ko-KR" altLang="en-US" sz="1100" baseline="0">
                <a:solidFill>
                  <a:srgbClr val="0070C0"/>
                </a:solidFill>
              </a:rPr>
              <a:t> 가능</a:t>
            </a:r>
            <a:r>
              <a:rPr lang="en-US" altLang="ko-KR" sz="1100" baseline="0">
                <a:solidFill>
                  <a:srgbClr val="0070C0"/>
                </a:solidFill>
              </a:rPr>
              <a:t>,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필터 기능으로</a:t>
            </a:r>
            <a:endParaRPr lang="en-US" altLang="ko-KR" sz="1100">
              <a:solidFill>
                <a:srgbClr val="0070C0"/>
              </a:solidFill>
            </a:endParaRPr>
          </a:p>
          <a:p>
            <a:pPr algn="ctr"/>
            <a:r>
              <a:rPr lang="ko-KR" altLang="en-US" sz="1100">
                <a:solidFill>
                  <a:srgbClr val="0070C0"/>
                </a:solidFill>
              </a:rPr>
              <a:t>새롭게 정렬가능</a:t>
            </a:r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1047063" y="839238"/>
            <a:ext cx="3279321" cy="4947194"/>
          </a:xfrm>
          <a:prstGeom prst="rect">
            <a:avLst/>
          </a:prstGeom>
          <a:noFill/>
          <a:ln w="38100">
            <a:solidFill>
              <a:srgbClr val="00B0F0"/>
            </a:solidFill>
            <a:headEnd type="triangle" w="med" len="med"/>
            <a:tailEnd type="triangl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ko-KR" altLang="en-US" sz="1100"/>
          </a:p>
        </xdr:txBody>
      </xdr:sp>
      <xdr:cxnSp macro="">
        <xdr:nvCxnSpPr>
          <xdr:cNvPr id="5" name="직선 화살표 연결선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>
            <a:stCxn id="4" idx="2"/>
          </xdr:cNvCxnSpPr>
        </xdr:nvCxnSpPr>
        <xdr:spPr>
          <a:xfrm flipH="1">
            <a:off x="2652706" y="5786432"/>
            <a:ext cx="34018" cy="353785"/>
          </a:xfrm>
          <a:prstGeom prst="straightConnector1">
            <a:avLst/>
          </a:prstGeom>
          <a:ln w="38100">
            <a:solidFill>
              <a:srgbClr val="00B0F0"/>
            </a:solidFill>
            <a:headEnd type="none" w="med" len="med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148936</xdr:colOff>
      <xdr:row>41</xdr:row>
      <xdr:rowOff>87642</xdr:rowOff>
    </xdr:from>
    <xdr:to>
      <xdr:col>6</xdr:col>
      <xdr:colOff>1481196</xdr:colOff>
      <xdr:row>76</xdr:row>
      <xdr:rowOff>117709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7136" y="10260342"/>
          <a:ext cx="6776750" cy="8032972"/>
        </a:xfrm>
        <a:prstGeom prst="rect">
          <a:avLst/>
        </a:prstGeom>
        <a:ln>
          <a:solidFill>
            <a:srgbClr val="00B0F0"/>
          </a:solidFill>
        </a:ln>
      </xdr:spPr>
    </xdr:pic>
    <xdr:clientData/>
  </xdr:twoCellAnchor>
  <xdr:twoCellAnchor>
    <xdr:from>
      <xdr:col>2</xdr:col>
      <xdr:colOff>419100</xdr:colOff>
      <xdr:row>39</xdr:row>
      <xdr:rowOff>38100</xdr:rowOff>
    </xdr:from>
    <xdr:to>
      <xdr:col>2</xdr:col>
      <xdr:colOff>1484306</xdr:colOff>
      <xdr:row>40</xdr:row>
      <xdr:rowOff>182978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4038600" y="9753600"/>
          <a:ext cx="1065206" cy="373478"/>
        </a:xfrm>
        <a:prstGeom prst="rect">
          <a:avLst/>
        </a:prstGeom>
        <a:solidFill>
          <a:srgbClr val="FFFFFF">
            <a:alpha val="69804"/>
          </a:srgb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1100">
              <a:solidFill>
                <a:srgbClr val="0070C0"/>
              </a:solidFill>
            </a:rPr>
            <a:t>포스팅 결과물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ropbox/9.%20&#45236;%20&#46300;&#47213;&#48149;&#49828;/@.%20%23&#50724;&#48736;&#46160;/@%20&#50641;&#49472;%20-%20&#50689;&#49345;&#44053;&#51032;/1d_&#50641;&#49472;%20VBA%20&#44053;&#51032;/1b_&#53301;%20VBA%20&#44053;&#51032;/&#53301;VBA%208&#44053;%20ImageLookup%20&#54632;&#49688;/&#53301;VBA%208&#44053;%20-%20&#51060;&#48120;&#51648;%20&#48520;&#47084;&#50724;&#44592;%20&#54632;&#49688;%20ImageLookup%20-%20&#50756;&#49457;&#54028;&#5106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sheetDataSet>
      <sheetData sheetId="0">
        <row r="6">
          <cell r="C6" t="str">
            <v>농심</v>
          </cell>
        </row>
      </sheetData>
      <sheetData sheetId="1">
        <row r="1">
          <cell r="A1" t="str">
            <v>제조사</v>
          </cell>
        </row>
        <row r="2">
          <cell r="A2" t="str">
            <v>농심</v>
          </cell>
          <cell r="E2" t="str">
            <v>농심</v>
          </cell>
        </row>
        <row r="3">
          <cell r="A3" t="str">
            <v>농심</v>
          </cell>
          <cell r="E3" t="str">
            <v>롯데</v>
          </cell>
        </row>
        <row r="4">
          <cell r="A4" t="str">
            <v>농심</v>
          </cell>
          <cell r="E4" t="str">
            <v>오리온</v>
          </cell>
        </row>
        <row r="5">
          <cell r="A5" t="str">
            <v>농심</v>
          </cell>
          <cell r="E5" t="str">
            <v>크라운</v>
          </cell>
        </row>
        <row r="6">
          <cell r="A6" t="str">
            <v>롯데</v>
          </cell>
          <cell r="E6" t="str">
            <v>해태</v>
          </cell>
        </row>
        <row r="7">
          <cell r="A7" t="str">
            <v>롯데</v>
          </cell>
        </row>
        <row r="8">
          <cell r="A8" t="str">
            <v>롯데</v>
          </cell>
        </row>
        <row r="9">
          <cell r="A9" t="str">
            <v>롯데</v>
          </cell>
        </row>
        <row r="10">
          <cell r="A10" t="str">
            <v>롯데</v>
          </cell>
        </row>
        <row r="11">
          <cell r="A11" t="str">
            <v>롯데</v>
          </cell>
        </row>
        <row r="12">
          <cell r="A12" t="str">
            <v>오리온</v>
          </cell>
        </row>
        <row r="13">
          <cell r="A13" t="str">
            <v>오리온</v>
          </cell>
        </row>
        <row r="14">
          <cell r="A14" t="str">
            <v>오리온</v>
          </cell>
        </row>
        <row r="15">
          <cell r="A15" t="str">
            <v>크라운</v>
          </cell>
        </row>
        <row r="16">
          <cell r="A16" t="str">
            <v>크라운</v>
          </cell>
        </row>
        <row r="17">
          <cell r="A17" t="str">
            <v>해태</v>
          </cell>
        </row>
        <row r="18">
          <cell r="A18" t="str">
            <v>해태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 w="38100">
          <a:solidFill>
            <a:srgbClr val="00B0F0"/>
          </a:solidFill>
          <a:headEnd type="none" w="med" len="med"/>
          <a:tailEnd type="triangle" w="med" len="med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hestal.tistory.com/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blog.naver.com/hellprone" TargetMode="External"/><Relationship Id="rId1" Type="http://schemas.openxmlformats.org/officeDocument/2006/relationships/hyperlink" Target="https://open.kakao.com/o/gzUumOdc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blog.naver.com/hellprone/221803214624" TargetMode="External"/><Relationship Id="rId4" Type="http://schemas.openxmlformats.org/officeDocument/2006/relationships/hyperlink" Target="https://sinsangsa.tistory.com/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W49"/>
  <sheetViews>
    <sheetView tabSelected="1" zoomScale="70" zoomScaleNormal="70" workbookViewId="0">
      <selection activeCell="C4" sqref="C4"/>
    </sheetView>
  </sheetViews>
  <sheetFormatPr defaultRowHeight="16.5" x14ac:dyDescent="0.3"/>
  <cols>
    <col min="1" max="1" width="5.625" bestFit="1" customWidth="1"/>
    <col min="2" max="2" width="38.875" customWidth="1"/>
    <col min="3" max="3" width="35.375" customWidth="1"/>
    <col min="4" max="4" width="31" customWidth="1"/>
    <col min="5" max="5" width="10.25" customWidth="1"/>
    <col min="6" max="6" width="24.5" customWidth="1"/>
    <col min="7" max="7" width="12.125" customWidth="1"/>
    <col min="8" max="8" width="18.375" style="6" customWidth="1"/>
    <col min="9" max="9" width="17.375" customWidth="1"/>
    <col min="10" max="10" width="32.75" customWidth="1"/>
    <col min="11" max="11" width="21.125" customWidth="1"/>
    <col min="12" max="12" width="9" hidden="1" customWidth="1"/>
    <col min="15" max="20" width="9" customWidth="1"/>
  </cols>
  <sheetData>
    <row r="1" spans="1:23" ht="43.5" customHeight="1" x14ac:dyDescent="0.3">
      <c r="B1" s="52" t="s">
        <v>40</v>
      </c>
      <c r="C1" s="52"/>
      <c r="D1" s="52"/>
      <c r="E1" s="52"/>
      <c r="F1" s="52"/>
      <c r="G1" s="52"/>
      <c r="H1" s="52"/>
      <c r="I1" s="20" t="s">
        <v>12</v>
      </c>
      <c r="J1" s="21">
        <v>54801799701019</v>
      </c>
      <c r="K1" t="s">
        <v>13</v>
      </c>
    </row>
    <row r="2" spans="1:23" ht="33" x14ac:dyDescent="0.3">
      <c r="B2" s="15" t="s">
        <v>8</v>
      </c>
      <c r="C2" s="27" t="s">
        <v>51</v>
      </c>
      <c r="D2" s="18" t="s">
        <v>29</v>
      </c>
      <c r="I2" s="22" t="s">
        <v>15</v>
      </c>
      <c r="J2" s="23" t="s">
        <v>14</v>
      </c>
      <c r="K2" t="s">
        <v>39</v>
      </c>
    </row>
    <row r="3" spans="1:23" ht="20.25" x14ac:dyDescent="0.3">
      <c r="B3" s="15" t="s">
        <v>0</v>
      </c>
      <c r="C3" s="16" t="s">
        <v>53</v>
      </c>
      <c r="D3" s="18" t="s">
        <v>22</v>
      </c>
      <c r="E3" s="4"/>
      <c r="F3" s="4"/>
      <c r="G3" s="4"/>
      <c r="H3" s="9"/>
      <c r="I3" s="24" t="s">
        <v>18</v>
      </c>
      <c r="J3" s="25" t="s">
        <v>16</v>
      </c>
      <c r="K3" s="9"/>
      <c r="L3" s="9"/>
      <c r="M3" s="9"/>
      <c r="N3" s="9"/>
    </row>
    <row r="4" spans="1:23" x14ac:dyDescent="0.3">
      <c r="B4" s="3" t="s">
        <v>1</v>
      </c>
      <c r="C4" s="19" t="str">
        <f>"https://www.coupang.com/np/search?component=&amp;q="&amp;EENCODEURL(C3)&amp;"&amp;"&amp;"channel=user"</f>
        <v>https://www.coupang.com/np/search?component=&amp;q=%EA%B3%A0%EC%B6%94%EC%9E%A5%EB%B6%88%EA%B3%A0%EA%B8%B0%2C%EA%B9%80%EC%B9%98%EC%A3%BC%EB%A8%B9%EB%B0%A5%2C%EA%B3%A4%EB%93%9C%EB%A0%88%EB%82%98%EB%AC%BC%EB%B0%A5%2C%EB%8F%BC%EC%A7%80%EA%B5%AD%EB%B0%A5%2C%EA%B9%80%EC%B9%98%EB%B3%B6%EC%9D%8C%EB%B0%A5%2C%EA%B9%80%EC%B9%98%EC%8C%88%EB%B0%A5%2C%EB%86%8D%EC%96%B4%EC%B4%88%EB%B0%A5%2C%EC%83%88%EC%9A%B0%EC%BC%80%EB%B0%A5%2C%EB%A5%98%EC%82%B0%EC%8A%AC%EB%8D%AE%EB%B0%A5%2C%EB%A9%8D%EA%B2%8C%EB%B9%84%EB%B9%94%EB%B0%A5%2C%EB%A9%B8%EC%B9%98%EC%A3%BC%EB%A8%B9%EB%B0%A5%2C%EB%AC%B5%EB%B0%A5%2C%EB%AC%B8%EC%96%B4%EC%B4%88%EB%B0%A5%2C%EB%B3%B6%EC%9D%8C%EB%B0%A5%2C%EB%B6%88%EA%B3%A0%EA%B8%B0%EB%8D%AE%EB%B0%A5&amp;channel=user</v>
      </c>
      <c r="D4" s="4"/>
      <c r="E4" s="4"/>
      <c r="F4" s="4"/>
      <c r="G4" s="4"/>
      <c r="H4" s="9"/>
      <c r="I4" s="26" t="s">
        <v>17</v>
      </c>
      <c r="J4" s="23" t="s">
        <v>20</v>
      </c>
      <c r="K4" s="9"/>
      <c r="L4" s="9"/>
      <c r="M4" s="9"/>
      <c r="N4" s="9"/>
    </row>
    <row r="5" spans="1:23" ht="20.25" x14ac:dyDescent="0.3">
      <c r="B5" s="15" t="s">
        <v>7</v>
      </c>
      <c r="C5" s="17" t="s">
        <v>52</v>
      </c>
      <c r="D5" s="28" t="s">
        <v>28</v>
      </c>
      <c r="E5" s="5"/>
      <c r="F5" s="5"/>
      <c r="G5" s="5"/>
      <c r="I5" s="20" t="s">
        <v>19</v>
      </c>
      <c r="J5" s="23" t="s">
        <v>21</v>
      </c>
      <c r="O5" s="7"/>
      <c r="R5" t="s">
        <v>26</v>
      </c>
      <c r="S5" t="str">
        <f>"https://link.coupang.com/re/AFFTDP?lptag="&amp;$C$2&amp;"&amp;subid="&amp;$C$5&amp;"&amp;pageKey="</f>
        <v>https://link.coupang.com/re/AFFTDP?lptag=AF9099466&amp;subid=jdh5202&amp;pageKey=</v>
      </c>
    </row>
    <row r="6" spans="1:23" ht="20.25" x14ac:dyDescent="0.3">
      <c r="B6" s="49" t="s">
        <v>50</v>
      </c>
      <c r="C6" s="50">
        <v>20</v>
      </c>
      <c r="D6" s="51">
        <f>MIN(C6,36)</f>
        <v>20</v>
      </c>
      <c r="E6" s="5"/>
      <c r="F6" s="5"/>
      <c r="G6" s="5"/>
      <c r="I6" s="47"/>
      <c r="J6" s="48"/>
      <c r="O6" s="7"/>
    </row>
    <row r="7" spans="1:23" ht="17.25" thickBot="1" x14ac:dyDescent="0.35">
      <c r="D7" s="14" t="s">
        <v>11</v>
      </c>
      <c r="O7" s="6"/>
      <c r="R7" t="s">
        <v>27</v>
      </c>
      <c r="S7" t="str">
        <f>"https://link.coupang.com/re/AFFSDP?lptag="&amp;$C$2&amp;"&amp;subid="&amp;$C$5&amp;"&amp;pageKey="</f>
        <v>https://link.coupang.com/re/AFFSDP?lptag=AF9099466&amp;subid=jdh5202&amp;pageKey=</v>
      </c>
      <c r="U7" s="1"/>
      <c r="V7" s="1"/>
      <c r="W7" s="1"/>
    </row>
    <row r="8" spans="1:23" x14ac:dyDescent="0.3">
      <c r="B8" s="2" t="s">
        <v>2</v>
      </c>
      <c r="C8" s="2" t="s">
        <v>23</v>
      </c>
      <c r="D8" s="13" t="s">
        <v>24</v>
      </c>
      <c r="E8" s="2" t="s">
        <v>10</v>
      </c>
      <c r="F8" s="2" t="s">
        <v>30</v>
      </c>
      <c r="G8" s="2" t="s">
        <v>3</v>
      </c>
      <c r="H8" s="8" t="s">
        <v>4</v>
      </c>
      <c r="I8" s="2" t="s">
        <v>6</v>
      </c>
      <c r="J8" s="2" t="s">
        <v>5</v>
      </c>
      <c r="K8" s="2" t="s">
        <v>9</v>
      </c>
      <c r="L8" s="44" t="s">
        <v>38</v>
      </c>
    </row>
    <row r="9" spans="1:23" s="12" customFormat="1" x14ac:dyDescent="0.3">
      <c r="A9" s="12">
        <v>0</v>
      </c>
      <c r="B9" s="37" t="s">
        <v>54</v>
      </c>
      <c r="C9" s="12" t="str">
        <f t="shared" ref="C9:C44" si="0">IF(IFERROR(SEARCH("/vp/",I9)&gt;1,0),$S$7&amp;J9&amp;"&amp;"&amp;K9&amp;"&amp;traceid=V0-153",$S$5&amp;J9&amp;"&amp;traceid=V0-153")</f>
        <v>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</v>
      </c>
      <c r="D9" s="38" t="str">
        <f>태그수정!B2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" target="_blank" class="con_link"&gt;&lt;img src="https://thumbnail8.coupangcdn.com/thumbnails/remote/230x230ex/image/vendor_inventory/68e6/5bf25d835d3f00d7504ab1367312f0319816d4df31c449a2600c1a8718b7.jpg"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inherit;"&gt;마이닭 닭가슴살 구운 주먹밥 100g 3종 혼합, 02_닭가슴살 주먹밥 3종혼합 12팩 (각4팩)&lt;/span&gt;&lt;/span&gt;&lt;/p&gt;&lt;p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inherit;"&gt;17,900원&lt;/span&gt;&lt;/span&gt;&lt;/p&gt;&lt;p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inherit;"&gt;(6)&lt;/span&gt;&lt;/a&gt;&lt;/span&gt;&lt;/p&gt;&lt;/td&gt;&lt;/tr&gt;&lt;/tbody&gt;&lt;/table&gt;</v>
      </c>
      <c r="E9" s="39" t="str">
        <f>IF(IFERROR(SEARCH("srp_product_ads",I9)&gt;1,0),"광고",IF(IFERROR(SEARCH("/np/",I9)&gt;1,0),"여행",IF(IFERROR(SEARCH("pickType=",I9)&gt;1,0),"광고","상품")))</f>
        <v>광고</v>
      </c>
      <c r="F9" s="12" t="s">
        <v>94</v>
      </c>
      <c r="G9" s="40">
        <v>17900</v>
      </c>
      <c r="H9" s="41">
        <v>-6</v>
      </c>
      <c r="I9" s="12" t="s">
        <v>55</v>
      </c>
      <c r="J9" s="12" t="str">
        <f>IF(IFERROR(SEARCH("/np/",I9)&gt;1,0),MID(I9,SEARCH("/products/",I9)+10,(SEARCH("?q=",I9)-(SEARCH("/products/",I9)+10))),MID(I9,SEARCH("/products/",I9)+10,(SEARCH("?itemId=",I9)-(SEARCH("/products/",I9)+10))))</f>
        <v>5510130376</v>
      </c>
      <c r="K9" s="12" t="str">
        <f>IF(IFERROR(SEARCH("/np/",I9)&gt;1,0),MID(I9,SEARCH("itemId=",I9)+10,(SEARCH("&amp;q=",I9)-(SEARCH("itemId=",I9)+10))),MID(I9,SEARCH("itemId=",I9),(SEARCH("&amp;q=",I9)-(SEARCH("itemId=",I9)))))</f>
        <v>itemId=8586130489&amp;vendorItemId=75873428401&amp;sourceType=srp_product_ads&amp;clickEventId=691a5224-227f-4a06-a089-5a64bfc8e824&amp;korePlacement=15&amp;koreSubPlacement=1&amp;clickEventId=691a5224-227f-4a06-a089-5a64bfc8e824&amp;korePlacement=15&amp;koreSubPlacement=1</v>
      </c>
      <c r="L9" s="43" t="str">
        <f t="shared" ref="L9:L44" si="1">TEXT(G9,"#,##0")</f>
        <v>17,900</v>
      </c>
    </row>
    <row r="10" spans="1:23" s="12" customFormat="1" hidden="1" x14ac:dyDescent="0.3">
      <c r="A10" s="12">
        <v>1</v>
      </c>
      <c r="B10" s="37" t="s">
        <v>56</v>
      </c>
      <c r="C10" s="12" t="str">
        <f t="shared" si="0"/>
        <v>https://link.coupang.com/re/AFFSDP?lptag=AF9099466&amp;subid=jdh5202&amp;pageKey=1365646493&amp;itemId=2397712633&amp;vendorItemId=76395149672&amp;traceid=V0-153</v>
      </c>
      <c r="D10" s="38" t="str">
        <f>태그수정!B3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href="https://link.coupang.com/re/AFFSDP?lptag=AF9099466&amp;subid=jdh5202&amp;pageKey=1365646493&amp;itemId=2397712633&amp;vendorItemId=76395149672&amp;traceid=V0-153" target="_blank" class="con_link"&gt;&lt;img src="https://thumbnail6.coupangcdn.com/thumbnails/remote/230x230ex/image/vendor_inventory/3b7b/f18dfd2ba5b60567fb8541fdff7985f9bc35b80af6ef6e8af216bb95a470.jpg"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inherit;"&gt;no.2&lt;/span&gt;&lt;/span&gt;&lt;/p&gt;&lt;p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 불고기 덮밥, 250g, 18개&lt;/span&gt;&lt;/span&gt;&lt;/p&gt;&lt;p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inherit;"&gt;52,700원&lt;/span&gt;&lt;/span&gt;&lt;/p&gt;&lt;p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href="https://link.coupang.com/re/AFFSDP?lptag=AF9099466&amp;subid=jdh5202&amp;pageKey=1365646493&amp;itemId=2397712633&amp;vendorItemId=76395149672&amp;traceid=V0-153"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inherit;"&gt;(29)&lt;/span&gt;&lt;/a&gt;&lt;/span&gt;&lt;/p&gt;&lt;/td&gt;&lt;/tr&gt;&lt;/tbody&gt;&lt;/table&gt;</v>
      </c>
      <c r="E10" s="45" t="str">
        <f t="shared" ref="E10:E44" si="2">IF(IFERROR(SEARCH("srp_product_ads",I10)&gt;1,0),"광고",IF(IFERROR(SEARCH("/np/",I10)&gt;1,0),"여행",IF(IFERROR(SEARCH("pickType=",I10)&gt;1,0),"광고","상품")))</f>
        <v>상품</v>
      </c>
      <c r="F10" s="43" t="s">
        <v>95</v>
      </c>
      <c r="G10" s="40">
        <v>52700</v>
      </c>
      <c r="H10" s="41">
        <v>-29</v>
      </c>
      <c r="I10" s="12" t="s">
        <v>57</v>
      </c>
      <c r="J10" s="12" t="str">
        <f t="shared" ref="J10:J20" si="3">IF(IFERROR(SEARCH("/np/",I10)&gt;1,0),MID(I10,SEARCH("/products/",I10)+10,(SEARCH("?q=",I10)-(SEARCH("/products/",I10)+10))),MID(I10,SEARCH("/products/",I10)+10,(SEARCH("?itemId=",I10)-(SEARCH("/products/",I10)+10))))</f>
        <v>1365646493</v>
      </c>
      <c r="K10" s="12" t="str">
        <f t="shared" ref="K10:K44" si="4">IF(IFERROR(SEARCH("/np/",I10)&gt;1,0),MID(I10,SEARCH("itemId=",I10)+10,(SEARCH("&amp;q=",I10)-(SEARCH("itemId=",I10)+10))),MID(I10,SEARCH("itemId=",I10),(SEARCH("&amp;q=",I10)-(SEARCH("itemId=",I10)))))</f>
        <v>itemId=2397712633&amp;vendorItemId=76395149672</v>
      </c>
      <c r="L10" s="43" t="str">
        <f t="shared" si="1"/>
        <v>52,700</v>
      </c>
    </row>
    <row r="11" spans="1:23" s="12" customFormat="1" x14ac:dyDescent="0.3">
      <c r="A11" s="12">
        <v>2</v>
      </c>
      <c r="B11" s="12" t="s">
        <v>58</v>
      </c>
      <c r="C11" s="12" t="str">
        <f t="shared" si="0"/>
        <v>https://link.coupang.com/re/AFFSDP?lptag=AF9099466&amp;subid=jdh5202&amp;pageKey=4559619989&amp;itemId=5551458379&amp;vendorItemId=78520237631&amp;traceid=V0-153</v>
      </c>
      <c r="D11" s="38" t="str">
        <f>태그수정!B4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href="https://link.coupang.com/re/AFFSDP?lptag=AF9099466&amp;subid=jdh5202&amp;pageKey=4559619989&amp;itemId=5551458379&amp;vendorItemId=78520237631&amp;traceid=V0-153" target="_blank" class="con_link"&gt;&lt;img src="https://thumbnail10.coupangcdn.com/thumbnails/remote/230x230ex/image/vendor_inventory/6ebe/c2fdeee26d7fd6ece82ef28c5b895990b0cd5a918e94777b8b5b377c722c.jpg"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inherit;"&gt;no.3&lt;/span&gt;&lt;/span&gt;&lt;/p&gt;&lt;p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inherit;"&gt;복천식품 소고기가 풍부한 미친 소불고기 덮밥 12팩, 180g&lt;/span&gt;&lt;/span&gt;&lt;/p&gt;&lt;p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inherit;"&gt;35,120원&lt;/span&gt;&lt;/span&gt;&lt;/p&gt;&lt;p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href="https://link.coupang.com/re/AFFSDP?lptag=AF9099466&amp;subid=jdh5202&amp;pageKey=4559619989&amp;itemId=5551458379&amp;vendorItemId=78520237631&amp;traceid=V0-153"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inherit;"&gt;(34)&lt;/span&gt;&lt;/a&gt;&lt;/span&gt;&lt;/p&gt;&lt;/td&gt;&lt;/tr&gt;&lt;/tbody&gt;&lt;/table&gt;</v>
      </c>
      <c r="E11" s="45" t="str">
        <f t="shared" si="2"/>
        <v>상품</v>
      </c>
      <c r="F11" s="12" t="s">
        <v>96</v>
      </c>
      <c r="G11" s="40">
        <v>35120</v>
      </c>
      <c r="H11" s="41">
        <v>-34</v>
      </c>
      <c r="I11" s="12" t="s">
        <v>59</v>
      </c>
      <c r="J11" s="12" t="str">
        <f t="shared" si="3"/>
        <v>4559619989</v>
      </c>
      <c r="K11" s="12" t="str">
        <f t="shared" si="4"/>
        <v>itemId=5551458379&amp;vendorItemId=78520237631</v>
      </c>
      <c r="L11" s="43" t="str">
        <f t="shared" si="1"/>
        <v>35,120</v>
      </c>
    </row>
    <row r="12" spans="1:23" s="12" customFormat="1" x14ac:dyDescent="0.3">
      <c r="A12" s="12">
        <v>3</v>
      </c>
      <c r="B12" s="12" t="s">
        <v>60</v>
      </c>
      <c r="C12" s="12" t="str">
        <f t="shared" si="0"/>
        <v>https://link.coupang.com/re/AFFSDP?lptag=AF9099466&amp;subid=jdh5202&amp;pageKey=59119541&amp;itemId=41577124&amp;vendorItemId=3063794528&amp;pickType=COU_PICK&amp;traceid=V0-153</v>
      </c>
      <c r="D12" s="38" t="str">
        <f>태그수정!B5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href="https://link.coupang.com/re/AFFSDP?lptag=AF9099466&amp;subid=jdh5202&amp;pageKey=59119541&amp;itemId=41577124&amp;vendorItemId=3063794528&amp;pickType=COU_PICK&amp;traceid=V0-153" target="_blank" class="con_link"&gt;&lt;img src="https://thumbnail7.coupangcdn.com/thumbnails/remote/230x230ex/image/retail/images/769745136041229-5eabc0c1-b309-45dc-bd48-81ec05d4b3b8.jpg"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inherit;"&gt;no.4&lt;/span&gt;&lt;/span&gt;&lt;/p&gt;&lt;p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맛있는 컵밥 오삼불고기덮밥, 280g,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inherit;"&gt;24,340원&lt;/span&gt;&lt;/span&gt;&lt;/p&gt;&lt;p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href="https://link.coupang.com/re/AFFSDP?lptag=AF9099466&amp;subid=jdh5202&amp;pageKey=59119541&amp;itemId=41577124&amp;vendorItemId=3063794528&amp;pickType=COU_PICK&amp;traceid=V0-153"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inherit;"&gt;(1812)&lt;/span&gt;&lt;/a&gt;&lt;/span&gt;&lt;/p&gt;&lt;/td&gt;&lt;/tr&gt;&lt;/tbody&gt;&lt;/table&gt;</v>
      </c>
      <c r="E12" s="45" t="str">
        <f t="shared" si="2"/>
        <v>광고</v>
      </c>
      <c r="F12" s="12" t="s">
        <v>97</v>
      </c>
      <c r="G12" s="40">
        <v>24340</v>
      </c>
      <c r="H12" s="41">
        <v>-1812</v>
      </c>
      <c r="I12" s="12" t="s">
        <v>61</v>
      </c>
      <c r="J12" s="12" t="str">
        <f t="shared" si="3"/>
        <v>59119541</v>
      </c>
      <c r="K12" s="12" t="str">
        <f t="shared" si="4"/>
        <v>itemId=41577124&amp;vendorItemId=3063794528&amp;pickType=COU_PICK</v>
      </c>
      <c r="L12" s="43" t="str">
        <f t="shared" si="1"/>
        <v>24,340</v>
      </c>
    </row>
    <row r="13" spans="1:23" s="12" customFormat="1" x14ac:dyDescent="0.3">
      <c r="A13" s="12">
        <v>4</v>
      </c>
      <c r="B13" s="12" t="s">
        <v>62</v>
      </c>
      <c r="C13" s="12" t="str">
        <f t="shared" si="0"/>
        <v>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</v>
      </c>
      <c r="D13" s="38" t="str">
        <f>태그수정!B6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" target="_blank" class="con_link"&gt;&lt;img src="https://thumbnail10.coupangcdn.com/thumbnails/remote/230x230ex/image/retail/images/873371476681197-db5eacfb-7663-4729-a7ea-805a09ce6de3.png"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inherit;"&gt;no.5&lt;/span&gt;&lt;/span&gt;&lt;/p&gt;&lt;p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inherit;"&gt;티아시아키친 치킨 마크니 커리 170g + 게살 푸팟퐁 커리 170g + 비프 마살라 커리 170g + 스파이시 비프 마살라 커리 170g 세트, 1세트&lt;/span&gt;&lt;/span&gt;&lt;/p&gt;&lt;p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inherit;"&gt;8,360원&lt;/span&gt;&lt;/span&gt;&lt;/p&gt;&lt;p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inherit;"&gt;(3158)&lt;/span&gt;&lt;/a&gt;&lt;/span&gt;&lt;/p&gt;&lt;/td&gt;&lt;/tr&gt;&lt;/tbody&gt;&lt;/table&gt;</v>
      </c>
      <c r="E13" s="45" t="str">
        <f t="shared" si="2"/>
        <v>광고</v>
      </c>
      <c r="F13" s="12" t="s">
        <v>98</v>
      </c>
      <c r="G13" s="40">
        <v>8360</v>
      </c>
      <c r="H13" s="41">
        <v>-3158</v>
      </c>
      <c r="I13" s="12" t="s">
        <v>63</v>
      </c>
      <c r="J13" s="12" t="str">
        <f t="shared" si="3"/>
        <v>5353216928</v>
      </c>
      <c r="K13" s="12" t="str">
        <f t="shared" si="4"/>
        <v>itemId=7879001480&amp;vendorItemId=75168546266&amp;sourceType=srp_product_ads&amp;clickEventId=796f50c3-c0e6-4d87-bee9-ab17d1a77b86&amp;korePlacement=15&amp;koreSubPlacement=5&amp;clickEventId=796f50c3-c0e6-4d87-bee9-ab17d1a77b86&amp;korePlacement=15&amp;koreSubPlacement=5</v>
      </c>
      <c r="L13" s="43" t="str">
        <f t="shared" si="1"/>
        <v>8,360</v>
      </c>
    </row>
    <row r="14" spans="1:23" s="12" customFormat="1" hidden="1" x14ac:dyDescent="0.3">
      <c r="A14" s="12">
        <v>5</v>
      </c>
      <c r="B14" s="12" t="s">
        <v>64</v>
      </c>
      <c r="C14" s="12" t="str">
        <f t="shared" si="0"/>
        <v>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</v>
      </c>
      <c r="D14" s="38" t="str">
        <f>태그수정!B7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" target="_blank" class="con_link"&gt;&lt;img src="https://thumbnail9.coupangcdn.com/thumbnails/remote/230x230ex/image/vendor_inventory/ed88/b8ce29a9258cdf702162b41326b8173df763be5bbf7256cb91fe2071ad47.jpg"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inherit;"&gt;no.6&lt;/span&gt;&lt;/span&gt;&lt;/p&gt;&lt;p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inherit;"&gt;CJ햇반 간편식 컵밥 덮밥 26종류 미역 황태 제육 카레, CJ불고기덮밥&lt;/span&gt;&lt;/span&gt;&lt;/p&gt;&lt;p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inherit;"&gt;5,380원&lt;/span&gt;&lt;/span&gt;&lt;/p&gt;&lt;p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inherit;"&gt;(107)&lt;/span&gt;&lt;/a&gt;&lt;/span&gt;&lt;/p&gt;&lt;/td&gt;&lt;/tr&gt;&lt;/tbody&gt;&lt;/table&gt;</v>
      </c>
      <c r="E14" s="45" t="str">
        <f t="shared" si="2"/>
        <v>광고</v>
      </c>
      <c r="F14" s="12" t="s">
        <v>99</v>
      </c>
      <c r="G14" s="40">
        <v>5380</v>
      </c>
      <c r="H14" s="41">
        <v>-107</v>
      </c>
      <c r="I14" s="12" t="s">
        <v>65</v>
      </c>
      <c r="J14" s="12" t="str">
        <f t="shared" si="3"/>
        <v>320621624</v>
      </c>
      <c r="K14" s="12" t="str">
        <f t="shared" si="4"/>
        <v>itemId=1026027735&amp;vendorItemId=5531504529&amp;sourceType=srp_product_ads&amp;clickEventId=91d0ed69-9bac-4b5f-998a-1021555baffe&amp;korePlacement=15&amp;koreSubPlacement=6&amp;clickEventId=91d0ed69-9bac-4b5f-998a-1021555baffe&amp;korePlacement=15&amp;koreSubPlacement=6</v>
      </c>
      <c r="L14" s="43" t="str">
        <f t="shared" si="1"/>
        <v>5,380</v>
      </c>
    </row>
    <row r="15" spans="1:23" s="12" customFormat="1" x14ac:dyDescent="0.3">
      <c r="A15" s="12">
        <v>6</v>
      </c>
      <c r="B15" s="37" t="s">
        <v>66</v>
      </c>
      <c r="C15" s="12" t="str">
        <f t="shared" si="0"/>
        <v>https://link.coupang.com/re/AFFSDP?lptag=AF9099466&amp;subid=jdh5202&amp;pageKey=25419881&amp;itemId=98896879&amp;vendorItemId=3180508127&amp;traceid=V0-153</v>
      </c>
      <c r="D15" s="38" t="str">
        <f>태그수정!B8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href="https://link.coupang.com/re/AFFSDP?lptag=AF9099466&amp;subid=jdh5202&amp;pageKey=25419881&amp;itemId=98896879&amp;vendorItemId=3180508127&amp;traceid=V0-153" target="_blank" class="con_link"&gt;&lt;img src="https://thumbnail10.coupangcdn.com/thumbnails/remote/230x230ex/image/retail/images/176014076351882-06f25933-997a-4c78-91bf-277ab1dec65a.jpg"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inherit;"&gt;no.7&lt;/span&gt;&lt;/span&gt;&lt;/p&gt;&lt;p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뚝배기 불고기밥 컵밥, 290g,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inherit;"&gt;26,920원&lt;/span&gt;&lt;/span&gt;&lt;/p&gt;&lt;p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href="https://link.coupang.com/re/AFFSDP?lptag=AF9099466&amp;subid=jdh5202&amp;pageKey=25419881&amp;itemId=98896879&amp;vendorItemId=3180508127&amp;traceid=V0-153"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inherit;"&gt;(572)&lt;/span&gt;&lt;/a&gt;&lt;/span&gt;&lt;/p&gt;&lt;/td&gt;&lt;/tr&gt;&lt;/tbody&gt;&lt;/table&gt;</v>
      </c>
      <c r="E15" s="45" t="str">
        <f t="shared" si="2"/>
        <v>상품</v>
      </c>
      <c r="F15" s="12" t="s">
        <v>100</v>
      </c>
      <c r="G15" s="40">
        <v>26920</v>
      </c>
      <c r="H15" s="41">
        <v>-572</v>
      </c>
      <c r="I15" s="12" t="s">
        <v>67</v>
      </c>
      <c r="J15" s="12" t="str">
        <f t="shared" si="3"/>
        <v>25419881</v>
      </c>
      <c r="K15" s="12" t="str">
        <f t="shared" si="4"/>
        <v>itemId=98896879&amp;vendorItemId=3180508127</v>
      </c>
      <c r="L15" s="43" t="str">
        <f t="shared" si="1"/>
        <v>26,920</v>
      </c>
    </row>
    <row r="16" spans="1:23" s="12" customFormat="1" x14ac:dyDescent="0.3">
      <c r="A16" s="12">
        <v>7</v>
      </c>
      <c r="B16" s="12" t="s">
        <v>68</v>
      </c>
      <c r="C16" s="12" t="str">
        <f t="shared" si="0"/>
        <v>https://link.coupang.com/re/AFFSDP?lptag=AF9099466&amp;subid=jdh5202&amp;pageKey=95752302&amp;itemId=295278470&amp;vendorItemId=5547092348&amp;traceid=V0-153</v>
      </c>
      <c r="D16" s="38" t="str">
        <f>태그수정!B9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href="https://link.coupang.com/re/AFFSDP?lptag=AF9099466&amp;subid=jdh5202&amp;pageKey=95752302&amp;itemId=295278470&amp;vendorItemId=5547092348&amp;traceid=V0-153" target="_blank" class="con_link"&gt;&lt;img src="https://thumbnail8.coupangcdn.com/thumbnails/remote/230x230ex/image/vendor_inventory/images/2018/05/29/11/9/0544db11-f702-44de-81a4-55dd9e0893c2.jpg"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inherit;"&gt;no.8&lt;/span&gt;&lt;/span&gt;&lt;/p&gt;&lt;p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inherit;"&gt;CJ제일제당 햇반 컵반X6개(18종 중 택1)/컵밥/간편식, 17.햇반 컵반 불고기덮밥X6개&lt;/span&gt;&lt;/span&gt;&lt;/p&gt;&lt;p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inherit;"&gt;17,630원&lt;/span&gt;&lt;/span&gt;&lt;/p&gt;&lt;p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href="https://link.coupang.com/re/AFFSDP?lptag=AF9099466&amp;subid=jdh5202&amp;pageKey=95752302&amp;itemId=295278470&amp;vendorItemId=5547092348&amp;traceid=V0-153"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inherit;"&gt;(1032)&lt;/span&gt;&lt;/a&gt;&lt;/span&gt;&lt;/p&gt;&lt;/td&gt;&lt;/tr&gt;&lt;/tbody&gt;&lt;/table&gt;</v>
      </c>
      <c r="E16" s="45" t="str">
        <f t="shared" si="2"/>
        <v>상품</v>
      </c>
      <c r="F16" s="12" t="s">
        <v>101</v>
      </c>
      <c r="G16" s="40">
        <v>17630</v>
      </c>
      <c r="H16" s="41">
        <v>-1032</v>
      </c>
      <c r="I16" s="12" t="s">
        <v>69</v>
      </c>
      <c r="J16" s="12" t="str">
        <f t="shared" si="3"/>
        <v>95752302</v>
      </c>
      <c r="K16" s="12" t="str">
        <f t="shared" si="4"/>
        <v>itemId=295278470&amp;vendorItemId=5547092348</v>
      </c>
      <c r="L16" s="43" t="str">
        <f t="shared" si="1"/>
        <v>17,630</v>
      </c>
    </row>
    <row r="17" spans="1:14" s="12" customFormat="1" hidden="1" x14ac:dyDescent="0.3">
      <c r="A17" s="12">
        <v>8</v>
      </c>
      <c r="B17" s="37" t="s">
        <v>70</v>
      </c>
      <c r="C17" s="12" t="str">
        <f t="shared" si="0"/>
        <v>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</v>
      </c>
      <c r="D17" s="38" t="str">
        <f>태그수정!B10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" target="_blank" class="con_link"&gt;&lt;img src="https://thumbnail9.coupangcdn.com/thumbnails/remote/230x230ex/image/vendor_inventory/ed88/b8ce29a9258cdf702162b41326b8173df763be5bbf7256cb91fe2071ad47.jpg"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inherit;"&gt;no.9&lt;/span&gt;&lt;/span&gt;&lt;/p&gt;&lt;p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inherit;"&gt;CJ햇반 간편식 컵밥 덮밥 26종류 미역 황태 제육 카레, 스팸마요덮밥&lt;/span&gt;&lt;/span&gt;&lt;/p&gt;&lt;p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inherit;"&gt;5,440원&lt;/span&gt;&lt;/span&gt;&lt;/p&gt;&lt;p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inherit;"&gt;(77)&lt;/span&gt;&lt;/a&gt;&lt;/span&gt;&lt;/p&gt;&lt;/td&gt;&lt;/tr&gt;&lt;/tbody&gt;&lt;/table&gt;</v>
      </c>
      <c r="E17" s="45" t="str">
        <f t="shared" si="2"/>
        <v>광고</v>
      </c>
      <c r="F17" s="12" t="s">
        <v>99</v>
      </c>
      <c r="G17" s="40">
        <v>5440</v>
      </c>
      <c r="H17" s="41">
        <v>-77</v>
      </c>
      <c r="I17" s="12" t="s">
        <v>71</v>
      </c>
      <c r="J17" s="12" t="str">
        <f t="shared" si="3"/>
        <v>2047580940</v>
      </c>
      <c r="K17" s="12" t="str">
        <f t="shared" si="4"/>
        <v>itemId=3480775325&amp;vendorItemId=5531504397&amp;sourceType=srp_product_ads&amp;clickEventId=23077584-382d-4885-b2c6-557b03000440&amp;korePlacement=15&amp;koreSubPlacement=9&amp;clickEventId=23077584-382d-4885-b2c6-557b03000440&amp;korePlacement=15&amp;koreSubPlacement=9</v>
      </c>
      <c r="L17" s="43" t="str">
        <f t="shared" si="1"/>
        <v>5,440</v>
      </c>
    </row>
    <row r="18" spans="1:14" x14ac:dyDescent="0.3">
      <c r="A18" s="12">
        <v>9</v>
      </c>
      <c r="B18" s="37" t="s">
        <v>72</v>
      </c>
      <c r="C18" s="12" t="str">
        <f t="shared" si="0"/>
        <v>https://link.coupang.com/re/AFFSDP?lptag=AF9099466&amp;subid=jdh5202&amp;pageKey=1365646493&amp;itemId=3404436466&amp;vendorItemId=76395149724&amp;traceid=V0-153</v>
      </c>
      <c r="D18" s="38" t="str">
        <f>태그수정!B11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href="https://link.coupang.com/re/AFFSDP?lptag=AF9099466&amp;subid=jdh5202&amp;pageKey=1365646493&amp;itemId=3404436466&amp;vendorItemId=76395149724&amp;traceid=V0-153" target="_blank" class="con_link"&gt;&lt;img src="https://thumbnail6.coupangcdn.com/thumbnails/remote/230x230ex/image/vendor_inventory/def7/ae7ca678baa96eba529131000b929e0f34867f7d990978c696835c7ec6fd.jpg"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inherit;"&gt;no.10&lt;/span&gt;&lt;/span&gt;&lt;/p&gt;&lt;p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 불고기 덮밥, 250g, 5개&lt;/span&gt;&lt;/span&gt;&lt;/p&gt;&lt;p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href="https://link.coupang.com/re/AFFSDP?lptag=AF9099466&amp;subid=jdh5202&amp;pageKey=1365646493&amp;itemId=3404436466&amp;vendorItemId=76395149724&amp;traceid=V0-153"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inherit;"&gt;(29)&lt;/span&gt;&lt;/a&gt;&lt;/span&gt;&lt;/p&gt;&lt;/td&gt;&lt;/tr&gt;&lt;/tbody&gt;&lt;/table&gt;</v>
      </c>
      <c r="E18" s="45" t="str">
        <f>IF(IFERROR(SEARCH("srp_product_ads",I18)&gt;1,0),"광고",IF(IFERROR(SEARCH("/np/",I18)&gt;1,0),"여행",IF(IFERROR(SEARCH("pickType=",I18)&gt;1,0),"광고","상품")))</f>
        <v>상품</v>
      </c>
      <c r="F18" s="12" t="s">
        <v>102</v>
      </c>
      <c r="G18" s="40">
        <v>17500</v>
      </c>
      <c r="H18" s="41">
        <v>-29</v>
      </c>
      <c r="I18" s="12" t="s">
        <v>73</v>
      </c>
      <c r="J18" s="12" t="str">
        <f t="shared" si="3"/>
        <v>1365646493</v>
      </c>
      <c r="K18" s="12" t="str">
        <f t="shared" si="4"/>
        <v>itemId=3404436466&amp;vendorItemId=76395149724</v>
      </c>
      <c r="L18" s="43" t="str">
        <f t="shared" si="1"/>
        <v>17,500</v>
      </c>
      <c r="M18" s="12"/>
      <c r="N18" s="12"/>
    </row>
    <row r="19" spans="1:14" x14ac:dyDescent="0.3">
      <c r="A19" s="12">
        <v>10</v>
      </c>
      <c r="B19" s="12" t="s">
        <v>74</v>
      </c>
      <c r="C19" s="12" t="str">
        <f t="shared" si="0"/>
        <v>https://link.coupang.com/re/AFFSDP?lptag=AF9099466&amp;subid=jdh5202&amp;pageKey=1696221795&amp;itemId=2887423507&amp;vendorItemId=73671647632&amp;traceid=V0-153</v>
      </c>
      <c r="D19" s="38" t="str">
        <f>태그수정!B12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href="https://link.coupang.com/re/AFFSDP?lptag=AF9099466&amp;subid=jdh5202&amp;pageKey=1696221795&amp;itemId=2887423507&amp;vendorItemId=73671647632&amp;traceid=V0-153" target="_blank" class="con_link"&gt;&lt;img src="https://thumbnail7.coupangcdn.com/thumbnails/remote/230x230ex/image/vendor_inventory/55f4/baca5e90e76016ebef86a3bb6ce6d47297344b6fb3960af8cef364be1a59.jpg"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inherit;"&gt;no.11&lt;/span&gt;&lt;/span&gt;&lt;/p&gt;&lt;p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inherit;"&gt;피코크 밥 한그릇 뚝딱 불고기덮밥소스 130g, 1개&lt;/span&gt;&lt;/span&gt;&lt;/p&gt;&lt;p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inherit;"&gt;5,250원&lt;/span&gt;&lt;/span&gt;&lt;/p&gt;&lt;p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href="https://link.coupang.com/re/AFFSDP?lptag=AF9099466&amp;subid=jdh5202&amp;pageKey=1696221795&amp;itemId=2887423507&amp;vendorItemId=73671647632&amp;traceid=V0-153"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E19" s="45" t="str">
        <f t="shared" si="2"/>
        <v>상품</v>
      </c>
      <c r="F19" s="12" t="s">
        <v>103</v>
      </c>
      <c r="G19" s="40">
        <v>5250</v>
      </c>
      <c r="H19" s="41">
        <v>-2</v>
      </c>
      <c r="I19" s="12" t="s">
        <v>75</v>
      </c>
      <c r="J19" s="12" t="str">
        <f t="shared" si="3"/>
        <v>1696221795</v>
      </c>
      <c r="K19" s="12" t="str">
        <f t="shared" si="4"/>
        <v>itemId=2887423507&amp;vendorItemId=73671647632</v>
      </c>
      <c r="L19" s="43" t="str">
        <f t="shared" si="1"/>
        <v>5,250</v>
      </c>
      <c r="M19" s="12"/>
      <c r="N19" s="12"/>
    </row>
    <row r="20" spans="1:14" x14ac:dyDescent="0.3">
      <c r="A20" s="12">
        <v>11</v>
      </c>
      <c r="B20" s="12" t="s">
        <v>76</v>
      </c>
      <c r="C20" s="12" t="str">
        <f t="shared" si="0"/>
        <v>https://link.coupang.com/re/AFFSDP?lptag=AF9099466&amp;subid=jdh5202&amp;pageKey=5225821361&amp;itemId=7344471569&amp;vendorItemId=74635680824&amp;traceid=V0-153</v>
      </c>
      <c r="D20" s="38" t="str">
        <f>태그수정!B13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href="https://link.coupang.com/re/AFFSDP?lptag=AF9099466&amp;subid=jdh5202&amp;pageKey=5225821361&amp;itemId=7344471569&amp;vendorItemId=74635680824&amp;traceid=V0-153" target="_blank" class="con_link"&gt;&lt;img src="https://thumbnail6.coupangcdn.com/thumbnails/remote/230x230ex/image/vendor_inventory/5154/623ee2465de7f428a73d0af6320774df63d61f2d392efc46da77c67e0c5c.png"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inherit;"&gt;no.12&lt;/span&gt;&lt;/span&gt;&lt;/p&gt;&lt;p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직화불고기덮밥 257g, 5개&lt;/span&gt;&lt;/span&gt;&lt;/p&gt;&lt;p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inherit;"&gt;17,080원&lt;/span&gt;&lt;/span&gt;&lt;/p&gt;&lt;p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href="https://link.coupang.com/re/AFFSDP?lptag=AF9099466&amp;subid=jdh5202&amp;pageKey=5225821361&amp;itemId=7344471569&amp;vendorItemId=74635680824&amp;traceid=V0-153"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E20" s="45" t="str">
        <f t="shared" si="2"/>
        <v>상품</v>
      </c>
      <c r="F20" s="12" t="s">
        <v>104</v>
      </c>
      <c r="G20" s="40">
        <v>17080</v>
      </c>
      <c r="H20" s="41">
        <v>-2</v>
      </c>
      <c r="I20" s="12" t="s">
        <v>77</v>
      </c>
      <c r="J20" s="12" t="str">
        <f t="shared" si="3"/>
        <v>5225821361</v>
      </c>
      <c r="K20" s="12" t="str">
        <f t="shared" si="4"/>
        <v>itemId=7344471569&amp;vendorItemId=74635680824</v>
      </c>
      <c r="L20" s="43" t="str">
        <f t="shared" si="1"/>
        <v>17,080</v>
      </c>
      <c r="M20" s="12"/>
      <c r="N20" s="12"/>
    </row>
    <row r="21" spans="1:14" x14ac:dyDescent="0.3">
      <c r="A21" s="12">
        <v>12</v>
      </c>
      <c r="B21" s="12" t="s">
        <v>78</v>
      </c>
      <c r="C21" s="12" t="str">
        <f t="shared" si="0"/>
        <v>https://link.coupang.com/re/AFFSDP?lptag=AF9099466&amp;subid=jdh5202&amp;pageKey=5677767334&amp;itemId=9368762033&amp;vendorItemId=76653955567&amp;traceid=V0-153</v>
      </c>
      <c r="D21" s="38" t="str">
        <f>태그수정!B14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href="https://link.coupang.com/re/AFFSDP?lptag=AF9099466&amp;subid=jdh5202&amp;pageKey=5677767334&amp;itemId=9368762033&amp;vendorItemId=76653955567&amp;traceid=V0-153" target="_blank" class="con_link"&gt;&lt;img src="https://thumbnail6.coupangcdn.com/thumbnails/remote/230x230ex/image/vendor_inventory/f997/05df6b0980856aa383152f7b427f179565b89bad1740b134c8ebfde29e08.jpg"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inherit;"&gt;no.13&lt;/span&gt;&lt;/span&gt;&lt;/p&gt;&lt;p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컵밥 증량Up! 6종 세트 (차돌강된장보리밥+제육덮밥+오삼불고기덮밥+춘천닭갈비덮밥+매콤낙지덮밥+서울식설렁탕) + 블루존물티슈, 1세트&lt;/span&gt;&lt;/span&gt;&lt;/p&gt;&lt;p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inherit;"&gt;21,320원&lt;/span&gt;&lt;/span&gt;&lt;/p&gt;&lt;p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href="https://link.coupang.com/re/AFFSDP?lptag=AF9099466&amp;subid=jdh5202&amp;pageKey=5677767334&amp;itemId=9368762033&amp;vendorItemId=76653955567&amp;traceid=V0-153"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inherit;"&gt;(63)&lt;/span&gt;&lt;/a&gt;&lt;/span&gt;&lt;/p&gt;&lt;/td&gt;&lt;/tr&gt;&lt;/tbody&gt;&lt;/table&gt;</v>
      </c>
      <c r="E21" s="45" t="str">
        <f t="shared" si="2"/>
        <v>상품</v>
      </c>
      <c r="F21" s="12" t="s">
        <v>105</v>
      </c>
      <c r="G21" s="40">
        <v>21320</v>
      </c>
      <c r="H21" s="41">
        <v>-63</v>
      </c>
      <c r="I21" s="12" t="s">
        <v>79</v>
      </c>
      <c r="J21" s="12" t="str">
        <f t="shared" ref="J21:J44" si="5">IF(IFERROR(SEARCH("/np/",I21)&gt;1,0),MID(I21,SEARCH("/products/",I21)+10,(SEARCH("?q=",I21)-(SEARCH("/products/",I21)+10))),MID(I21,SEARCH("/products/",I21)+10,(SEARCH("?itemId=",I21)-(SEARCH("/products/",I21)+10))))</f>
        <v>5677767334</v>
      </c>
      <c r="K21" s="12" t="str">
        <f t="shared" si="4"/>
        <v>itemId=9368762033&amp;vendorItemId=76653955567</v>
      </c>
      <c r="L21" s="43" t="str">
        <f t="shared" si="1"/>
        <v>21,320</v>
      </c>
      <c r="M21" s="12"/>
      <c r="N21" s="12"/>
    </row>
    <row r="22" spans="1:14" x14ac:dyDescent="0.3">
      <c r="A22" s="12">
        <v>13</v>
      </c>
      <c r="B22" s="12" t="s">
        <v>80</v>
      </c>
      <c r="C22" s="12" t="str">
        <f t="shared" si="0"/>
        <v>https://link.coupang.com/re/AFFSDP?lptag=AF9099466&amp;subid=jdh5202&amp;pageKey=4952281239&amp;itemId=6544892030&amp;vendorItemId=78302317701&amp;traceid=V0-153</v>
      </c>
      <c r="D22" s="38" t="str">
        <f>태그수정!B15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href="https://link.coupang.com/re/AFFSDP?lptag=AF9099466&amp;subid=jdh5202&amp;pageKey=4952281239&amp;itemId=6544892030&amp;vendorItemId=78302317701&amp;traceid=V0-153" target="_blank" class="con_link"&gt;&lt;img src="https://thumbnail10.coupangcdn.com/thumbnails/remote/230x230ex/image/vendor_inventory/cee8/941ec36f1fabc2d13103678e1635f15095eae0ccd547993d4294a47befa6.jpg"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inherit;"&gt;no.14&lt;/span&gt;&lt;/span&gt;&lt;/p&gt;&lt;p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inherit;"&gt;컵반 직화불고기덮밥250g 4입&lt;/span&gt;&lt;/span&gt;&lt;/p&gt;&lt;p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inherit;"&gt;17,300원&lt;/span&gt;&lt;/span&gt;&lt;/p&gt;&lt;p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href="https://link.coupang.com/re/AFFSDP?lptag=AF9099466&amp;subid=jdh5202&amp;pageKey=4952281239&amp;itemId=6544892030&amp;vendorItemId=78302317701&amp;traceid=V0-153"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inherit;"&gt;(0)&lt;/span&gt;&lt;/a&gt;&lt;/span&gt;&lt;/p&gt;&lt;/td&gt;&lt;/tr&gt;&lt;/tbody&gt;&lt;/table&gt;</v>
      </c>
      <c r="E22" s="45" t="str">
        <f t="shared" si="2"/>
        <v>상품</v>
      </c>
      <c r="F22" s="12" t="s">
        <v>106</v>
      </c>
      <c r="G22" s="40">
        <v>17300</v>
      </c>
      <c r="H22" s="41">
        <v>0</v>
      </c>
      <c r="I22" s="12" t="s">
        <v>81</v>
      </c>
      <c r="J22" s="12" t="str">
        <f t="shared" si="5"/>
        <v>4952281239</v>
      </c>
      <c r="K22" s="12" t="str">
        <f t="shared" si="4"/>
        <v>itemId=6544892030&amp;vendorItemId=78302317701</v>
      </c>
      <c r="L22" s="43" t="str">
        <f t="shared" si="1"/>
        <v>17,300</v>
      </c>
      <c r="M22" s="12"/>
      <c r="N22" s="12"/>
    </row>
    <row r="23" spans="1:14" x14ac:dyDescent="0.3">
      <c r="A23" s="12">
        <v>14</v>
      </c>
      <c r="B23" s="12" t="s">
        <v>82</v>
      </c>
      <c r="C23" s="12" t="str">
        <f t="shared" si="0"/>
        <v>https://link.coupang.com/re/AFFSDP?lptag=AF9099466&amp;subid=jdh5202&amp;pageKey=226324078&amp;itemId=717049857&amp;vendorItemId=4815148797&amp;traceid=V0-153</v>
      </c>
      <c r="D23" s="38" t="str">
        <f>태그수정!B16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href="https://link.coupang.com/re/AFFSDP?lptag=AF9099466&amp;subid=jdh5202&amp;pageKey=226324078&amp;itemId=717049857&amp;vendorItemId=4815148797&amp;traceid=V0-153" target="_blank" class="con_link"&gt;&lt;img src="https://thumbnail8.coupangcdn.com/thumbnails/remote/230x230ex/image/vendor_inventory/aa9e/53b6ea2d81c1e88a7f594ad59742b582854c6af821d72cc4bf86c3c4eac3.jpg"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inherit;"&gt;no.15&lt;/span&gt;&lt;/span&gt;&lt;/p&gt;&lt;p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inherit;"&gt;더빱 덮밥소스 소불고기 210g x 5봉 컵밥 전자렌지간편식&lt;/span&gt;&lt;/span&gt;&lt;/p&gt;&lt;p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inherit;"&gt;13,120원&lt;/span&gt;&lt;/span&gt;&lt;/p&gt;&lt;p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href="https://link.coupang.com/re/AFFSDP?lptag=AF9099466&amp;subid=jdh5202&amp;pageKey=226324078&amp;itemId=717049857&amp;vendorItemId=4815148797&amp;traceid=V0-153"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inherit;"&gt;(3)&lt;/span&gt;&lt;/a&gt;&lt;/span&gt;&lt;/p&gt;&lt;/td&gt;&lt;/tr&gt;&lt;/tbody&gt;&lt;/table&gt;</v>
      </c>
      <c r="E23" s="45" t="str">
        <f t="shared" si="2"/>
        <v>상품</v>
      </c>
      <c r="F23" s="12" t="s">
        <v>107</v>
      </c>
      <c r="G23" s="40">
        <v>13120</v>
      </c>
      <c r="H23" s="41">
        <v>-3</v>
      </c>
      <c r="I23" s="12" t="s">
        <v>83</v>
      </c>
      <c r="J23" s="12" t="str">
        <f t="shared" si="5"/>
        <v>226324078</v>
      </c>
      <c r="K23" s="12" t="str">
        <f t="shared" si="4"/>
        <v>itemId=717049857&amp;vendorItemId=4815148797</v>
      </c>
      <c r="L23" s="43" t="str">
        <f t="shared" si="1"/>
        <v>13,120</v>
      </c>
      <c r="M23" s="12"/>
      <c r="N23" s="12"/>
    </row>
    <row r="24" spans="1:14" x14ac:dyDescent="0.3">
      <c r="A24" s="12">
        <v>15</v>
      </c>
      <c r="B24" s="12" t="s">
        <v>84</v>
      </c>
      <c r="C24" s="12" t="str">
        <f t="shared" si="0"/>
        <v>https://link.coupang.com/re/AFFSDP?lptag=AF9099466&amp;subid=jdh5202&amp;pageKey=5780402980&amp;itemId=9848772339&amp;vendorItemId=77132208274&amp;traceid=V0-153</v>
      </c>
      <c r="D24" s="38" t="str">
        <f>태그수정!B17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href="https://link.coupang.com/re/AFFSDP?lptag=AF9099466&amp;subid=jdh5202&amp;pageKey=5780402980&amp;itemId=9848772339&amp;vendorItemId=77132208274&amp;traceid=V0-153" target="_blank" class="con_link"&gt;&lt;img src="https://thumbnail9.coupangcdn.com/thumbnails/remote/230x230ex/image/vendor_inventory/a13b/993e967011da734be9552cb2fa3f9bea626c8925347b8dd0415e31a445e4.jpg"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inherit;"&gt;no.16&lt;/span&gt;&lt;/span&gt;&lt;/p&gt;&lt;p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 컵반 철판제육덮밥3개+직화짜장덮밥3개+직화불고기덮밥3개+미역국밥3개, CJ컵반 제육덮밥+직화짜장+직화불고기+미역3개씩&lt;/span&gt;&lt;/span&gt;&lt;/p&gt;&lt;p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inherit;"&gt;35,800원&lt;/span&gt;&lt;/span&gt;&lt;/p&gt;&lt;p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href="https://link.coupang.com/re/AFFSDP?lptag=AF9099466&amp;subid=jdh5202&amp;pageKey=5780402980&amp;itemId=9848772339&amp;vendorItemId=77132208274&amp;traceid=V0-153"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inherit;"&gt;(8)&lt;/span&gt;&lt;/a&gt;&lt;/span&gt;&lt;/p&gt;&lt;/td&gt;&lt;/tr&gt;&lt;/tbody&gt;&lt;/table&gt;</v>
      </c>
      <c r="E24" s="45" t="str">
        <f t="shared" si="2"/>
        <v>상품</v>
      </c>
      <c r="F24" s="12" t="s">
        <v>108</v>
      </c>
      <c r="G24" s="40">
        <v>35800</v>
      </c>
      <c r="H24" s="41">
        <v>-8</v>
      </c>
      <c r="I24" s="12" t="s">
        <v>85</v>
      </c>
      <c r="J24" s="12" t="str">
        <f t="shared" si="5"/>
        <v>5780402980</v>
      </c>
      <c r="K24" s="12" t="str">
        <f t="shared" si="4"/>
        <v>itemId=9848772339&amp;vendorItemId=77132208274</v>
      </c>
      <c r="L24" s="43" t="str">
        <f t="shared" si="1"/>
        <v>35,800</v>
      </c>
      <c r="M24" s="12"/>
      <c r="N24" s="12"/>
    </row>
    <row r="25" spans="1:14" x14ac:dyDescent="0.3">
      <c r="A25" s="12">
        <v>16</v>
      </c>
      <c r="B25" s="12" t="s">
        <v>86</v>
      </c>
      <c r="C25" s="12" t="str">
        <f t="shared" si="0"/>
        <v>https://link.coupang.com/re/AFFSDP?lptag=AF9099466&amp;subid=jdh5202&amp;pageKey=293461210&amp;itemId=926535428&amp;vendorItemId=5543820019&amp;traceid=V0-153</v>
      </c>
      <c r="D25" s="38" t="str">
        <f>태그수정!B18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href="https://link.coupang.com/re/AFFSDP?lptag=AF9099466&amp;subid=jdh5202&amp;pageKey=293461210&amp;itemId=926535428&amp;vendorItemId=5543820019&amp;traceid=V0-153" target="_blank" class="con_link"&gt;&lt;img src="https://thumbnail9.coupangcdn.com/thumbnails/remote/230x230ex/image/vendor_inventory/d30c/c26f6ec2cc4a25abccc380cb6a09f493366a8db7bb44cb86c55a12bd5ae6.jpg"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inherit;"&gt;no.17&lt;/span&gt;&lt;/span&gt;&lt;/p&gt;&lt;p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inherit;"&gt;CJ컵반 CJ햇반 컵반 불고기덮밥 250g 컵밥 국밥 즉석밥 간편식, 1개&lt;/span&gt;&lt;/span&gt;&lt;/p&gt;&lt;p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inherit;"&gt;4,800원&lt;/span&gt;&lt;/span&gt;&lt;/p&gt;&lt;p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href="https://link.coupang.com/re/AFFSDP?lptag=AF9099466&amp;subid=jdh5202&amp;pageKey=293461210&amp;itemId=926535428&amp;vendorItemId=5543820019&amp;traceid=V0-153"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E25" s="45" t="str">
        <f t="shared" si="2"/>
        <v>상품</v>
      </c>
      <c r="F25" s="12" t="s">
        <v>109</v>
      </c>
      <c r="G25" s="40">
        <v>4800</v>
      </c>
      <c r="H25" s="41">
        <v>-2</v>
      </c>
      <c r="I25" s="12" t="s">
        <v>87</v>
      </c>
      <c r="J25" s="12" t="str">
        <f t="shared" si="5"/>
        <v>293461210</v>
      </c>
      <c r="K25" s="12" t="str">
        <f t="shared" si="4"/>
        <v>itemId=926535428&amp;vendorItemId=5543820019</v>
      </c>
      <c r="L25" s="43" t="str">
        <f t="shared" si="1"/>
        <v>4,800</v>
      </c>
      <c r="M25" s="12"/>
      <c r="N25" s="12"/>
    </row>
    <row r="26" spans="1:14" x14ac:dyDescent="0.3">
      <c r="A26" s="12">
        <v>17</v>
      </c>
      <c r="B26" s="12" t="s">
        <v>88</v>
      </c>
      <c r="C26" s="12" t="str">
        <f t="shared" si="0"/>
        <v>https://link.coupang.com/re/AFFSDP?lptag=AF9099466&amp;subid=jdh5202&amp;pageKey=5225821361&amp;itemId=7344471557&amp;vendorItemId=74635680782&amp;traceid=V0-153</v>
      </c>
      <c r="D26" s="38" t="str">
        <f>태그수정!B19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href="https://link.coupang.com/re/AFFSDP?lptag=AF9099466&amp;subid=jdh5202&amp;pageKey=5225821361&amp;itemId=7344471557&amp;vendorItemId=74635680782&amp;traceid=V0-153" target="_blank" class="con_link"&gt;&lt;img src="https://thumbnail7.coupangcdn.com/thumbnails/remote/230x230ex/image/vendor_inventory/9fdd/37cf0a934d1cc5ef7cb74a26435fb4ef5bc0c653e31e45538ea518aafb7c.png"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inherit;"&gt;no.18&lt;/span&gt;&lt;/span&gt;&lt;/p&gt;&lt;p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직화불고기덮밥 257g,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inherit;"&gt;36,500원&lt;/span&gt;&lt;/span&gt;&lt;/p&gt;&lt;p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href="https://link.coupang.com/re/AFFSDP?lptag=AF9099466&amp;subid=jdh5202&amp;pageKey=5225821361&amp;itemId=7344471557&amp;vendorItemId=74635680782&amp;traceid=V0-153"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E26" s="45" t="str">
        <f t="shared" si="2"/>
        <v>상품</v>
      </c>
      <c r="F26" s="12" t="s">
        <v>110</v>
      </c>
      <c r="G26" s="40">
        <v>36500</v>
      </c>
      <c r="H26" s="41">
        <v>-2</v>
      </c>
      <c r="I26" s="12" t="s">
        <v>89</v>
      </c>
      <c r="J26" s="12" t="str">
        <f t="shared" si="5"/>
        <v>5225821361</v>
      </c>
      <c r="K26" s="12" t="str">
        <f t="shared" si="4"/>
        <v>itemId=7344471557&amp;vendorItemId=74635680782</v>
      </c>
      <c r="L26" s="43" t="str">
        <f t="shared" si="1"/>
        <v>36,500</v>
      </c>
      <c r="M26" s="12"/>
      <c r="N26" s="12"/>
    </row>
    <row r="27" spans="1:14" x14ac:dyDescent="0.3">
      <c r="A27" s="12">
        <v>18</v>
      </c>
      <c r="B27" s="12" t="s">
        <v>90</v>
      </c>
      <c r="C27" s="12" t="str">
        <f t="shared" si="0"/>
        <v>https://link.coupang.com/re/AFFSDP?lptag=AF9099466&amp;subid=jdh5202&amp;pageKey=4390078347&amp;itemId=5201692982&amp;vendorItemId=73258619991&amp;traceid=V0-153</v>
      </c>
      <c r="D27" s="38" t="str">
        <f>태그수정!B20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href="https://link.coupang.com/re/AFFSDP?lptag=AF9099466&amp;subid=jdh5202&amp;pageKey=4390078347&amp;itemId=5201692982&amp;vendorItemId=73258619991&amp;traceid=V0-153" target="_blank" class="con_link"&gt;&lt;img src="https://thumbnail6.coupangcdn.com/thumbnails/remote/230x230ex/image/vendor_inventory/cb82/c150e592bd5cf1052566ce015061e57994c2b34d5f20535a370bce2d6c6a.jpg"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inherit;"&gt;no.19&lt;/span&gt;&lt;/span&gt;&lt;/p&gt;&lt;p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inherit;"&gt;추천상품 무배)오뚜기 컵밥 오삼불고기덮밥(280g_12EA), 단일상품(RVU4548)&lt;/span&gt;&lt;/span&gt;&lt;/p&gt;&lt;p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inherit;"&gt;36,840원&lt;/span&gt;&lt;/span&gt;&lt;/p&gt;&lt;p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href="https://link.coupang.com/re/AFFSDP?lptag=AF9099466&amp;subid=jdh5202&amp;pageKey=4390078347&amp;itemId=5201692982&amp;vendorItemId=73258619991&amp;traceid=V0-153"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inherit;"&gt;(0)&lt;/span&gt;&lt;/a&gt;&lt;/span&gt;&lt;/p&gt;&lt;/td&gt;&lt;/tr&gt;&lt;/tbody&gt;&lt;/table&gt;</v>
      </c>
      <c r="E27" s="45" t="str">
        <f t="shared" si="2"/>
        <v>상품</v>
      </c>
      <c r="F27" s="12" t="s">
        <v>111</v>
      </c>
      <c r="G27" s="40">
        <v>36840</v>
      </c>
      <c r="H27" s="41">
        <v>0</v>
      </c>
      <c r="I27" s="12" t="s">
        <v>91</v>
      </c>
      <c r="J27" s="12" t="str">
        <f t="shared" si="5"/>
        <v>4390078347</v>
      </c>
      <c r="K27" s="12" t="str">
        <f t="shared" si="4"/>
        <v>itemId=5201692982&amp;vendorItemId=73258619991</v>
      </c>
      <c r="L27" s="43" t="str">
        <f t="shared" si="1"/>
        <v>36,840</v>
      </c>
      <c r="M27" s="12"/>
      <c r="N27" s="12"/>
    </row>
    <row r="28" spans="1:14" x14ac:dyDescent="0.3">
      <c r="A28" s="12">
        <v>19</v>
      </c>
      <c r="B28" s="12" t="s">
        <v>92</v>
      </c>
      <c r="C28" s="12" t="str">
        <f t="shared" si="0"/>
        <v>https://link.coupang.com/re/AFFSDP?lptag=AF9099466&amp;subid=jdh5202&amp;pageKey=4823270543&amp;itemId=6216194386&amp;vendorItemId=73472796272&amp;traceid=V0-153</v>
      </c>
      <c r="D28" s="38" t="str">
        <f>태그수정!B21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href="https://link.coupang.com/re/AFFSDP?lptag=AF9099466&amp;subid=jdh5202&amp;pageKey=4823270543&amp;itemId=6216194386&amp;vendorItemId=73472796272&amp;traceid=V0-153" target="_blank" class="con_link"&gt;&lt;img src="https://thumbnail10.coupangcdn.com/thumbnails/remote/230x230ex/image/vendor_inventory/d100/c25dd8f5ed0b58ed7f9737d2db66f97889d7db506cfc5efe480b007078f7.jpg"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inherit;"&gt;no.20&lt;/span&gt;&lt;/span&gt;&lt;/p&gt;&lt;p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inherit;"&gt;덮밥 7종세트 닭고기 제육 소고기 오징어 오삼불고기 덮밥소스 간편식 냉동식품 혼밥메뉴, 7종 덮밥 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inherit;"&gt;19,500원&lt;/span&gt;&lt;/span&gt;&lt;/p&gt;&lt;p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href="https://link.coupang.com/re/AFFSDP?lptag=AF9099466&amp;subid=jdh5202&amp;pageKey=4823270543&amp;itemId=6216194386&amp;vendorItemId=73472796272&amp;traceid=V0-153"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inherit;"&gt;(23)&lt;/span&gt;&lt;/a&gt;&lt;/span&gt;&lt;/p&gt;&lt;/td&gt;&lt;/tr&gt;&lt;/tbody&gt;&lt;/table&gt;</v>
      </c>
      <c r="E28" s="45" t="str">
        <f t="shared" si="2"/>
        <v>상품</v>
      </c>
      <c r="F28" s="12" t="s">
        <v>112</v>
      </c>
      <c r="G28" s="40">
        <v>19500</v>
      </c>
      <c r="H28" s="41">
        <v>-23</v>
      </c>
      <c r="I28" s="12" t="s">
        <v>93</v>
      </c>
      <c r="J28" s="12" t="str">
        <f t="shared" si="5"/>
        <v>4823270543</v>
      </c>
      <c r="K28" s="12" t="str">
        <f t="shared" si="4"/>
        <v>itemId=6216194386&amp;vendorItemId=73472796272</v>
      </c>
      <c r="L28" s="43" t="str">
        <f t="shared" si="1"/>
        <v>19,500</v>
      </c>
      <c r="M28" s="12"/>
      <c r="N28" s="12"/>
    </row>
    <row r="29" spans="1:14" x14ac:dyDescent="0.3">
      <c r="A29" s="12">
        <v>20</v>
      </c>
      <c r="B29" s="12"/>
      <c r="C29" s="12" t="e">
        <f t="shared" si="0"/>
        <v>#VALUE!</v>
      </c>
      <c r="D29" s="38" t="str">
        <f>태그수정!B22</f>
        <v/>
      </c>
      <c r="E29" s="45" t="str">
        <f t="shared" si="2"/>
        <v>상품</v>
      </c>
      <c r="F29" s="12"/>
      <c r="G29" s="40"/>
      <c r="H29" s="41"/>
      <c r="I29" s="12"/>
      <c r="J29" s="12" t="e">
        <f t="shared" si="5"/>
        <v>#VALUE!</v>
      </c>
      <c r="K29" s="12" t="e">
        <f t="shared" si="4"/>
        <v>#VALUE!</v>
      </c>
      <c r="L29" s="43" t="str">
        <f t="shared" si="1"/>
        <v>0</v>
      </c>
      <c r="M29" s="12"/>
      <c r="N29" s="12"/>
    </row>
    <row r="30" spans="1:14" x14ac:dyDescent="0.3">
      <c r="A30" s="12">
        <v>21</v>
      </c>
      <c r="B30" s="12"/>
      <c r="C30" s="12" t="e">
        <f t="shared" si="0"/>
        <v>#VALUE!</v>
      </c>
      <c r="D30" s="38" t="str">
        <f>태그수정!B23</f>
        <v/>
      </c>
      <c r="E30" s="45" t="b">
        <f>E18=IF(IFERROR(SEARCH("srp_product_ads",I30)&gt;1,0),"광고",IF(IFERROR(SEARCH("/np/",I30)&gt;1,0),"여행",IF(IFERROR(SEARCH("pickType=",I30)&gt;1,0),"광고","상품")))</f>
        <v>1</v>
      </c>
      <c r="F30" s="12"/>
      <c r="G30" s="40"/>
      <c r="H30" s="41"/>
      <c r="I30" s="12"/>
      <c r="J30" s="12" t="e">
        <f t="shared" si="5"/>
        <v>#VALUE!</v>
      </c>
      <c r="K30" s="12" t="e">
        <f t="shared" si="4"/>
        <v>#VALUE!</v>
      </c>
      <c r="L30" s="43" t="str">
        <f t="shared" si="1"/>
        <v>0</v>
      </c>
      <c r="M30" s="12"/>
      <c r="N30" s="12"/>
    </row>
    <row r="31" spans="1:14" x14ac:dyDescent="0.3">
      <c r="A31" s="12">
        <v>22</v>
      </c>
      <c r="B31" s="12"/>
      <c r="C31" s="12" t="e">
        <f t="shared" si="0"/>
        <v>#VALUE!</v>
      </c>
      <c r="D31" s="38" t="str">
        <f>태그수정!B24</f>
        <v/>
      </c>
      <c r="E31" s="45" t="str">
        <f t="shared" si="2"/>
        <v>상품</v>
      </c>
      <c r="F31" s="12"/>
      <c r="G31" s="40"/>
      <c r="H31" s="41"/>
      <c r="I31" s="12"/>
      <c r="J31" s="12" t="e">
        <f t="shared" si="5"/>
        <v>#VALUE!</v>
      </c>
      <c r="K31" s="12" t="e">
        <f t="shared" si="4"/>
        <v>#VALUE!</v>
      </c>
      <c r="L31" s="43" t="str">
        <f t="shared" si="1"/>
        <v>0</v>
      </c>
      <c r="M31" s="12"/>
      <c r="N31" s="12"/>
    </row>
    <row r="32" spans="1:14" x14ac:dyDescent="0.3">
      <c r="A32" s="12">
        <v>23</v>
      </c>
      <c r="B32" s="12"/>
      <c r="C32" s="12" t="e">
        <f t="shared" si="0"/>
        <v>#VALUE!</v>
      </c>
      <c r="D32" s="38" t="str">
        <f>태그수정!B25</f>
        <v/>
      </c>
      <c r="E32" s="45" t="str">
        <f t="shared" si="2"/>
        <v>상품</v>
      </c>
      <c r="F32" s="12"/>
      <c r="G32" s="40"/>
      <c r="H32" s="41"/>
      <c r="I32" s="12"/>
      <c r="J32" s="12" t="e">
        <f t="shared" si="5"/>
        <v>#VALUE!</v>
      </c>
      <c r="K32" s="12" t="e">
        <f t="shared" si="4"/>
        <v>#VALUE!</v>
      </c>
      <c r="L32" s="43" t="str">
        <f t="shared" si="1"/>
        <v>0</v>
      </c>
      <c r="M32" s="12"/>
      <c r="N32" s="12"/>
    </row>
    <row r="33" spans="1:14" x14ac:dyDescent="0.3">
      <c r="A33" s="12">
        <v>24</v>
      </c>
      <c r="B33" s="12"/>
      <c r="C33" s="12" t="e">
        <f t="shared" si="0"/>
        <v>#VALUE!</v>
      </c>
      <c r="D33" s="38" t="str">
        <f>태그수정!B26</f>
        <v/>
      </c>
      <c r="E33" s="45" t="str">
        <f t="shared" si="2"/>
        <v>상품</v>
      </c>
      <c r="F33" s="12"/>
      <c r="G33" s="40"/>
      <c r="H33" s="41"/>
      <c r="I33" s="12"/>
      <c r="J33" s="12" t="e">
        <f t="shared" si="5"/>
        <v>#VALUE!</v>
      </c>
      <c r="K33" s="12" t="e">
        <f t="shared" si="4"/>
        <v>#VALUE!</v>
      </c>
      <c r="L33" s="43" t="str">
        <f t="shared" si="1"/>
        <v>0</v>
      </c>
      <c r="M33" s="12"/>
      <c r="N33" s="12"/>
    </row>
    <row r="34" spans="1:14" x14ac:dyDescent="0.3">
      <c r="A34" s="12">
        <v>25</v>
      </c>
      <c r="B34" s="12"/>
      <c r="C34" s="12" t="e">
        <f t="shared" si="0"/>
        <v>#VALUE!</v>
      </c>
      <c r="D34" s="38" t="str">
        <f>태그수정!B27</f>
        <v/>
      </c>
      <c r="E34" s="45" t="str">
        <f t="shared" si="2"/>
        <v>상품</v>
      </c>
      <c r="F34" s="12"/>
      <c r="G34" s="40"/>
      <c r="H34" s="41"/>
      <c r="I34" s="12"/>
      <c r="J34" s="12" t="e">
        <f t="shared" si="5"/>
        <v>#VALUE!</v>
      </c>
      <c r="K34" s="12" t="e">
        <f t="shared" si="4"/>
        <v>#VALUE!</v>
      </c>
      <c r="L34" s="43" t="str">
        <f t="shared" si="1"/>
        <v>0</v>
      </c>
      <c r="M34" s="12"/>
      <c r="N34" s="12"/>
    </row>
    <row r="35" spans="1:14" x14ac:dyDescent="0.3">
      <c r="A35" s="12">
        <v>26</v>
      </c>
      <c r="B35" s="12"/>
      <c r="C35" s="12" t="e">
        <f t="shared" si="0"/>
        <v>#VALUE!</v>
      </c>
      <c r="D35" s="38" t="str">
        <f>태그수정!B28</f>
        <v/>
      </c>
      <c r="E35" s="45" t="str">
        <f t="shared" si="2"/>
        <v>상품</v>
      </c>
      <c r="F35" s="12"/>
      <c r="G35" s="40"/>
      <c r="H35" s="41"/>
      <c r="I35" s="12"/>
      <c r="J35" s="12" t="e">
        <f t="shared" si="5"/>
        <v>#VALUE!</v>
      </c>
      <c r="K35" s="12" t="e">
        <f t="shared" si="4"/>
        <v>#VALUE!</v>
      </c>
      <c r="L35" s="43" t="str">
        <f t="shared" si="1"/>
        <v>0</v>
      </c>
      <c r="M35" s="12"/>
      <c r="N35" s="12"/>
    </row>
    <row r="36" spans="1:14" x14ac:dyDescent="0.3">
      <c r="A36" s="12">
        <v>27</v>
      </c>
      <c r="B36" s="12"/>
      <c r="C36" s="12" t="e">
        <f t="shared" si="0"/>
        <v>#VALUE!</v>
      </c>
      <c r="D36" s="38" t="str">
        <f>태그수정!B29</f>
        <v/>
      </c>
      <c r="E36" s="45" t="str">
        <f t="shared" si="2"/>
        <v>상품</v>
      </c>
      <c r="F36" s="12"/>
      <c r="G36" s="40"/>
      <c r="H36" s="41"/>
      <c r="I36" s="12"/>
      <c r="J36" s="12" t="e">
        <f t="shared" si="5"/>
        <v>#VALUE!</v>
      </c>
      <c r="K36" s="12" t="e">
        <f t="shared" si="4"/>
        <v>#VALUE!</v>
      </c>
      <c r="L36" s="43" t="str">
        <f t="shared" si="1"/>
        <v>0</v>
      </c>
      <c r="M36" s="12"/>
      <c r="N36" s="12"/>
    </row>
    <row r="37" spans="1:14" x14ac:dyDescent="0.3">
      <c r="A37" s="12">
        <v>28</v>
      </c>
      <c r="B37" s="12"/>
      <c r="C37" s="12" t="e">
        <f t="shared" si="0"/>
        <v>#VALUE!</v>
      </c>
      <c r="D37" s="38" t="str">
        <f>태그수정!B30</f>
        <v/>
      </c>
      <c r="E37" s="45" t="str">
        <f t="shared" si="2"/>
        <v>상품</v>
      </c>
      <c r="F37" s="12"/>
      <c r="G37" s="40"/>
      <c r="H37" s="41"/>
      <c r="I37" s="12"/>
      <c r="J37" s="12" t="e">
        <f t="shared" si="5"/>
        <v>#VALUE!</v>
      </c>
      <c r="K37" s="12" t="e">
        <f t="shared" si="4"/>
        <v>#VALUE!</v>
      </c>
      <c r="L37" s="43" t="str">
        <f t="shared" si="1"/>
        <v>0</v>
      </c>
      <c r="M37" s="12"/>
      <c r="N37" s="12"/>
    </row>
    <row r="38" spans="1:14" x14ac:dyDescent="0.3">
      <c r="A38" s="12">
        <v>29</v>
      </c>
      <c r="B38" s="12"/>
      <c r="C38" s="12" t="e">
        <f t="shared" si="0"/>
        <v>#VALUE!</v>
      </c>
      <c r="D38" s="38" t="str">
        <f>태그수정!B31</f>
        <v/>
      </c>
      <c r="E38" s="45" t="str">
        <f t="shared" si="2"/>
        <v>상품</v>
      </c>
      <c r="F38" s="12"/>
      <c r="G38" s="40"/>
      <c r="H38" s="41"/>
      <c r="I38" s="12"/>
      <c r="J38" s="12" t="e">
        <f t="shared" si="5"/>
        <v>#VALUE!</v>
      </c>
      <c r="K38" s="12" t="e">
        <f t="shared" si="4"/>
        <v>#VALUE!</v>
      </c>
      <c r="L38" s="43" t="str">
        <f t="shared" si="1"/>
        <v>0</v>
      </c>
      <c r="M38" s="12"/>
      <c r="N38" s="12"/>
    </row>
    <row r="39" spans="1:14" x14ac:dyDescent="0.3">
      <c r="A39" s="12">
        <v>30</v>
      </c>
      <c r="B39" s="12"/>
      <c r="C39" s="12" t="e">
        <f t="shared" si="0"/>
        <v>#VALUE!</v>
      </c>
      <c r="D39" s="38" t="str">
        <f>태그수정!B32</f>
        <v/>
      </c>
      <c r="E39" s="45" t="str">
        <f t="shared" si="2"/>
        <v>상품</v>
      </c>
      <c r="F39" s="12"/>
      <c r="G39" s="40"/>
      <c r="H39" s="41"/>
      <c r="I39" s="12"/>
      <c r="J39" s="12" t="e">
        <f t="shared" si="5"/>
        <v>#VALUE!</v>
      </c>
      <c r="K39" s="12" t="e">
        <f t="shared" si="4"/>
        <v>#VALUE!</v>
      </c>
      <c r="L39" s="43" t="str">
        <f t="shared" si="1"/>
        <v>0</v>
      </c>
      <c r="M39" s="12"/>
      <c r="N39" s="12"/>
    </row>
    <row r="40" spans="1:14" x14ac:dyDescent="0.3">
      <c r="A40" s="12">
        <v>31</v>
      </c>
      <c r="B40" s="12"/>
      <c r="C40" s="12" t="e">
        <f t="shared" si="0"/>
        <v>#VALUE!</v>
      </c>
      <c r="D40" s="38" t="str">
        <f>태그수정!B33</f>
        <v/>
      </c>
      <c r="E40" s="45" t="str">
        <f t="shared" si="2"/>
        <v>상품</v>
      </c>
      <c r="F40" s="12"/>
      <c r="G40" s="40"/>
      <c r="H40" s="41"/>
      <c r="I40" s="12"/>
      <c r="J40" s="12" t="e">
        <f t="shared" si="5"/>
        <v>#VALUE!</v>
      </c>
      <c r="K40" s="12" t="e">
        <f t="shared" si="4"/>
        <v>#VALUE!</v>
      </c>
      <c r="L40" s="43" t="str">
        <f t="shared" si="1"/>
        <v>0</v>
      </c>
      <c r="M40" s="12"/>
      <c r="N40" s="12"/>
    </row>
    <row r="41" spans="1:14" x14ac:dyDescent="0.3">
      <c r="A41" s="12">
        <v>32</v>
      </c>
      <c r="B41" s="12"/>
      <c r="C41" s="12" t="e">
        <f t="shared" si="0"/>
        <v>#VALUE!</v>
      </c>
      <c r="D41" s="38" t="str">
        <f>태그수정!B34</f>
        <v/>
      </c>
      <c r="E41" s="45" t="str">
        <f t="shared" si="2"/>
        <v>상품</v>
      </c>
      <c r="F41" s="12"/>
      <c r="G41" s="40"/>
      <c r="H41" s="41"/>
      <c r="I41" s="12"/>
      <c r="J41" s="12" t="e">
        <f t="shared" si="5"/>
        <v>#VALUE!</v>
      </c>
      <c r="K41" s="12" t="e">
        <f t="shared" si="4"/>
        <v>#VALUE!</v>
      </c>
      <c r="L41" s="43" t="str">
        <f t="shared" si="1"/>
        <v>0</v>
      </c>
      <c r="M41" s="12"/>
      <c r="N41" s="12"/>
    </row>
    <row r="42" spans="1:14" x14ac:dyDescent="0.3">
      <c r="A42" s="12">
        <v>33</v>
      </c>
      <c r="B42" s="12"/>
      <c r="C42" s="12" t="e">
        <f t="shared" si="0"/>
        <v>#VALUE!</v>
      </c>
      <c r="D42" s="38" t="str">
        <f>태그수정!B35</f>
        <v/>
      </c>
      <c r="E42" s="45" t="str">
        <f t="shared" si="2"/>
        <v>상품</v>
      </c>
      <c r="F42" s="12"/>
      <c r="G42" s="40"/>
      <c r="H42" s="41"/>
      <c r="I42" s="12"/>
      <c r="J42" s="12" t="e">
        <f t="shared" si="5"/>
        <v>#VALUE!</v>
      </c>
      <c r="K42" s="12" t="e">
        <f t="shared" si="4"/>
        <v>#VALUE!</v>
      </c>
      <c r="L42" s="43" t="str">
        <f t="shared" si="1"/>
        <v>0</v>
      </c>
      <c r="M42" s="12"/>
      <c r="N42" s="12"/>
    </row>
    <row r="43" spans="1:14" x14ac:dyDescent="0.3">
      <c r="A43" s="12">
        <v>34</v>
      </c>
      <c r="B43" s="12"/>
      <c r="C43" s="12" t="e">
        <f t="shared" si="0"/>
        <v>#VALUE!</v>
      </c>
      <c r="D43" s="38" t="str">
        <f>태그수정!B36</f>
        <v/>
      </c>
      <c r="E43" s="45" t="str">
        <f t="shared" si="2"/>
        <v>상품</v>
      </c>
      <c r="F43" s="12"/>
      <c r="G43" s="40"/>
      <c r="H43" s="41"/>
      <c r="I43" s="12"/>
      <c r="J43" s="12" t="e">
        <f t="shared" si="5"/>
        <v>#VALUE!</v>
      </c>
      <c r="K43" s="12" t="e">
        <f t="shared" si="4"/>
        <v>#VALUE!</v>
      </c>
      <c r="L43" s="43" t="str">
        <f t="shared" si="1"/>
        <v>0</v>
      </c>
      <c r="M43" s="12"/>
      <c r="N43" s="12"/>
    </row>
    <row r="44" spans="1:14" ht="17.25" thickBot="1" x14ac:dyDescent="0.35">
      <c r="A44" s="12">
        <v>35</v>
      </c>
      <c r="B44" s="12"/>
      <c r="C44" s="12" t="e">
        <f t="shared" si="0"/>
        <v>#VALUE!</v>
      </c>
      <c r="D44" s="42" t="str">
        <f>태그수정!B37</f>
        <v/>
      </c>
      <c r="E44" s="45" t="str">
        <f t="shared" si="2"/>
        <v>상품</v>
      </c>
      <c r="F44" s="12"/>
      <c r="G44" s="40"/>
      <c r="H44" s="41"/>
      <c r="I44" s="12"/>
      <c r="J44" s="12" t="e">
        <f t="shared" si="5"/>
        <v>#VALUE!</v>
      </c>
      <c r="K44" s="12" t="e">
        <f t="shared" si="4"/>
        <v>#VALUE!</v>
      </c>
      <c r="L44" s="43" t="str">
        <f t="shared" si="1"/>
        <v>0</v>
      </c>
      <c r="M44" s="12"/>
      <c r="N44" s="12"/>
    </row>
    <row r="49" spans="5:5" x14ac:dyDescent="0.3">
      <c r="E49" t="s">
        <v>25</v>
      </c>
    </row>
  </sheetData>
  <sheetProtection password="8147" sheet="1" objects="1" scenarios="1" formatCells="0" formatColumns="0" formatRows="0" insertColumns="0" insertRows="0" deleteColumns="0" deleteRows="0" sort="0" autoFilter="0" pivotTables="0"/>
  <protectedRanges>
    <protectedRange sqref="A7:IV77 A2:E6" name="범위2"/>
  </protectedRanges>
  <autoFilter ref="A8:W44" xr:uid="{00000000-0009-0000-0000-000000000000}">
    <filterColumn colId="4">
      <filters>
        <filter val="상품"/>
      </filters>
    </filterColumn>
  </autoFilter>
  <mergeCells count="1">
    <mergeCell ref="B1:H1"/>
  </mergeCells>
  <phoneticPr fontId="1" type="noConversion"/>
  <conditionalFormatting sqref="E9:E44">
    <cfRule type="containsText" dxfId="1" priority="1" stopIfTrue="1" operator="containsText" text="광고">
      <formula>NOT(ISERROR(SEARCH("광고",E9)))</formula>
    </cfRule>
  </conditionalFormatting>
  <hyperlinks>
    <hyperlink ref="J2" r:id="rId1" xr:uid="{00000000-0004-0000-0000-000000000000}"/>
    <hyperlink ref="J3" r:id="rId2" xr:uid="{00000000-0004-0000-0000-000001000000}"/>
    <hyperlink ref="J4" r:id="rId3" xr:uid="{00000000-0004-0000-0000-000002000000}"/>
    <hyperlink ref="J5" r:id="rId4" xr:uid="{00000000-0004-0000-0000-000003000000}"/>
    <hyperlink ref="D5" r:id="rId5" display="← 해당하는 쿠팡파트너스채널을 반드시 등록해야 합니다" xr:uid="{00000000-0004-0000-0000-000004000000}"/>
  </hyperlinks>
  <pageMargins left="0.7" right="0.7" top="0.75" bottom="0.75" header="0.3" footer="0.3"/>
  <pageSetup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Web_scarping">
                <anchor moveWithCells="1" sizeWithCells="1">
                  <from>
                    <xdr:col>5</xdr:col>
                    <xdr:colOff>1419225</xdr:colOff>
                    <xdr:row>1</xdr:row>
                    <xdr:rowOff>161925</xdr:rowOff>
                  </from>
                  <to>
                    <xdr:col>6</xdr:col>
                    <xdr:colOff>866775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37"/>
  <sheetViews>
    <sheetView zoomScale="70" zoomScaleNormal="70" workbookViewId="0">
      <selection activeCell="B2" sqref="B2:T37"/>
    </sheetView>
  </sheetViews>
  <sheetFormatPr defaultColWidth="9" defaultRowHeight="16.5" x14ac:dyDescent="0.3"/>
  <cols>
    <col min="1" max="1" width="11" style="10" bestFit="1" customWidth="1"/>
    <col min="2" max="2" width="36.25" style="10" customWidth="1"/>
    <col min="3" max="3" width="25.75" style="10" customWidth="1"/>
    <col min="4" max="4" width="9" style="10" hidden="1" customWidth="1"/>
    <col min="5" max="5" width="9" style="10"/>
    <col min="6" max="6" width="9" style="10" hidden="1" customWidth="1"/>
    <col min="7" max="7" width="42.375" style="10" customWidth="1"/>
    <col min="8" max="12" width="9" style="10" hidden="1" customWidth="1"/>
    <col min="13" max="13" width="12.625" style="11" customWidth="1"/>
    <col min="14" max="16" width="9" style="10" hidden="1" customWidth="1"/>
    <col min="17" max="17" width="9" style="10"/>
    <col min="18" max="19" width="9" style="10" hidden="1" customWidth="1"/>
    <col min="20" max="24" width="9" style="10" customWidth="1"/>
    <col min="25" max="16384" width="9" style="10"/>
  </cols>
  <sheetData>
    <row r="1" spans="1:20" s="32" customFormat="1" ht="81" customHeight="1" x14ac:dyDescent="0.3">
      <c r="A1" s="32" t="s">
        <v>37</v>
      </c>
      <c r="B1" s="36" t="s">
        <v>36</v>
      </c>
      <c r="C1" s="32" t="s">
        <v>32</v>
      </c>
      <c r="E1" s="35" t="s">
        <v>31</v>
      </c>
      <c r="G1" s="32" t="s">
        <v>33</v>
      </c>
      <c r="M1" s="33" t="s">
        <v>34</v>
      </c>
      <c r="Q1" s="32" t="s">
        <v>35</v>
      </c>
      <c r="T1" s="32" t="s">
        <v>49</v>
      </c>
    </row>
    <row r="2" spans="1:20" x14ac:dyDescent="0.3">
      <c r="A2" s="10">
        <v>1</v>
      </c>
      <c r="B2" s="29" t="str">
        <f>IF(검색!B9&lt;&gt;"",H2&amp;I2&amp;J2&amp;K2&amp;L2&amp;E2&amp;F2&amp;G2&amp;D2&amp;검색!L9&amp;N2&amp;O2&amp;P2&amp;Q2&amp;R2,"")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" target="_blank" class="con_link"&gt;&lt;img src="https://thumbnail8.coupangcdn.com/thumbnails/remote/230x230ex/image/vendor_inventory/68e6/5bf25d835d3f00d7504ab1367312f0319816d4df31c449a2600c1a8718b7.jpg"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inherit;"&gt;마이닭 닭가슴살 구운 주먹밥 100g 3종 혼합, 02_닭가슴살 주먹밥 3종혼합 12팩 (각4팩)&lt;/span&gt;&lt;/span&gt;&lt;/p&gt;&lt;p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inherit;"&gt;17,900원&lt;/span&gt;&lt;/span&gt;&lt;/p&gt;&lt;p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inherit;"&gt;(6)&lt;/span&gt;&lt;/a&gt;&lt;/span&gt;&lt;/p&gt;&lt;/td&gt;&lt;/tr&gt;&lt;/tbody&gt;&lt;/table&gt;</v>
      </c>
      <c r="C2" s="31" t="str">
        <f>검색!E9</f>
        <v>광고</v>
      </c>
      <c r="D2" s="46" t="s">
        <v>41</v>
      </c>
      <c r="E2" s="30" t="str">
        <f>"no."&amp;A2</f>
        <v>no.1</v>
      </c>
      <c r="F2" s="10" t="s">
        <v>42</v>
      </c>
      <c r="G2" s="10" t="str">
        <f>검색!B9</f>
        <v>마이닭 닭가슴살 구운 주먹밥 100g 3종 혼합, 02_닭가슴살 주먹밥 3종혼합 12팩 (각4팩)</v>
      </c>
      <c r="H2" s="10" t="s">
        <v>43</v>
      </c>
      <c r="I2" s="10" t="str">
        <f>검색!C9</f>
        <v>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</v>
      </c>
      <c r="J2" s="10" t="s">
        <v>44</v>
      </c>
      <c r="K2" s="10" t="str">
        <f>검색!F9</f>
        <v>https://thumbnail8.coupangcdn.com/thumbnails/remote/230x230ex/image/vendor_inventory/68e6/5bf25d835d3f00d7504ab1367312f0319816d4df31c449a2600c1a8718b7.jpg</v>
      </c>
      <c r="L2" s="10" t="s">
        <v>45</v>
      </c>
      <c r="M2" s="34">
        <f>IF(검색!B9&lt;&gt;"",검색!G9,"")</f>
        <v>17900</v>
      </c>
      <c r="N2" s="10" t="s">
        <v>46</v>
      </c>
      <c r="O2" s="10" t="str">
        <f>검색!C9</f>
        <v>https://link.coupang.com/re/AFFSDP?lptag=AF9099466&amp;subid=jdh5202&amp;pageKey=5510130376&amp;itemId=8586130489&amp;vendorItemId=75873428401&amp;sourceType=srp_product_ads&amp;clickEventId=691a5224-227f-4a06-a089-5a64bfc8e824&amp;korePlacement=15&amp;koreSubPlacement=1&amp;clickEventId=691a5224-227f-4a06-a089-5a64bfc8e824&amp;korePlacement=15&amp;koreSubPlacement=1&amp;traceid=V0-153</v>
      </c>
      <c r="P2" s="10" t="s">
        <v>47</v>
      </c>
      <c r="Q2" s="10">
        <f>IFERROR(ABS(검색!H9),"")</f>
        <v>6</v>
      </c>
      <c r="R2" s="10" t="s">
        <v>48</v>
      </c>
      <c r="T2" s="10">
        <v>1</v>
      </c>
    </row>
    <row r="3" spans="1:20" x14ac:dyDescent="0.3">
      <c r="A3" s="10">
        <v>2</v>
      </c>
      <c r="B3" s="29" t="str">
        <f>IF(검색!B10&lt;&gt;"",H3&amp;I3&amp;J3&amp;K3&amp;L3&amp;E3&amp;F3&amp;G3&amp;D3&amp;검색!L10&amp;N3&amp;O3&amp;P3&amp;Q3&amp;R3,"")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href="https://link.coupang.com/re/AFFSDP?lptag=AF9099466&amp;subid=jdh5202&amp;pageKey=1365646493&amp;itemId=2397712633&amp;vendorItemId=76395149672&amp;traceid=V0-153" target="_blank" class="con_link"&gt;&lt;img src="https://thumbnail6.coupangcdn.com/thumbnails/remote/230x230ex/image/vendor_inventory/3b7b/f18dfd2ba5b60567fb8541fdff7985f9bc35b80af6ef6e8af216bb95a470.jpg"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inherit;"&gt;no.2&lt;/span&gt;&lt;/span&gt;&lt;/p&gt;&lt;p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 불고기 덮밥, 250g, 18개&lt;/span&gt;&lt;/span&gt;&lt;/p&gt;&lt;p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inherit;"&gt;52,700원&lt;/span&gt;&lt;/span&gt;&lt;/p&gt;&lt;p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href="https://link.coupang.com/re/AFFSDP?lptag=AF9099466&amp;subid=jdh5202&amp;pageKey=1365646493&amp;itemId=2397712633&amp;vendorItemId=76395149672&amp;traceid=V0-153"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inherit;"&gt;(29)&lt;/span&gt;&lt;/a&gt;&lt;/span&gt;&lt;/p&gt;&lt;/td&gt;&lt;/tr&gt;&lt;/tbody&gt;&lt;/table&gt;</v>
      </c>
      <c r="C3" s="31" t="str">
        <f>검색!E10</f>
        <v>상품</v>
      </c>
      <c r="D3" s="46" t="s">
        <v>41</v>
      </c>
      <c r="E3" s="30" t="str">
        <f>"no."&amp;A3</f>
        <v>no.2</v>
      </c>
      <c r="F3" s="10" t="s">
        <v>42</v>
      </c>
      <c r="G3" s="10" t="str">
        <f>검색!B10</f>
        <v>햇반 컵반 직화 불고기 덮밥, 250g, 18개</v>
      </c>
      <c r="H3" s="10" t="s">
        <v>43</v>
      </c>
      <c r="I3" s="10" t="str">
        <f>검색!C10</f>
        <v>https://link.coupang.com/re/AFFSDP?lptag=AF9099466&amp;subid=jdh5202&amp;pageKey=1365646493&amp;itemId=2397712633&amp;vendorItemId=76395149672&amp;traceid=V0-153</v>
      </c>
      <c r="J3" s="10" t="s">
        <v>44</v>
      </c>
      <c r="K3" s="10" t="str">
        <f>검색!F10</f>
        <v>https://thumbnail6.coupangcdn.com/thumbnails/remote/230x230ex/image/vendor_inventory/3b7b/f18dfd2ba5b60567fb8541fdff7985f9bc35b80af6ef6e8af216bb95a470.jpg</v>
      </c>
      <c r="L3" s="10" t="s">
        <v>45</v>
      </c>
      <c r="M3" s="34">
        <f>IF(검색!B10&lt;&gt;"",검색!G10,"")</f>
        <v>52700</v>
      </c>
      <c r="N3" s="10" t="s">
        <v>46</v>
      </c>
      <c r="O3" s="10" t="str">
        <f>검색!C10</f>
        <v>https://link.coupang.com/re/AFFSDP?lptag=AF9099466&amp;subid=jdh5202&amp;pageKey=1365646493&amp;itemId=2397712633&amp;vendorItemId=76395149672&amp;traceid=V0-153</v>
      </c>
      <c r="P3" s="10" t="s">
        <v>47</v>
      </c>
      <c r="Q3" s="10">
        <f>IFERROR(ABS(검색!H10),"")</f>
        <v>29</v>
      </c>
      <c r="R3" s="10" t="s">
        <v>48</v>
      </c>
      <c r="T3" s="10">
        <v>2</v>
      </c>
    </row>
    <row r="4" spans="1:20" x14ac:dyDescent="0.3">
      <c r="A4" s="10">
        <v>3</v>
      </c>
      <c r="B4" s="29" t="str">
        <f>IF(검색!B11&lt;&gt;"",H4&amp;I4&amp;J4&amp;K4&amp;L4&amp;E4&amp;F4&amp;G4&amp;D4&amp;검색!L11&amp;N4&amp;O4&amp;P4&amp;Q4&amp;R4,"")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href="https://link.coupang.com/re/AFFSDP?lptag=AF9099466&amp;subid=jdh5202&amp;pageKey=4559619989&amp;itemId=5551458379&amp;vendorItemId=78520237631&amp;traceid=V0-153" target="_blank" class="con_link"&gt;&lt;img src="https://thumbnail10.coupangcdn.com/thumbnails/remote/230x230ex/image/vendor_inventory/6ebe/c2fdeee26d7fd6ece82ef28c5b895990b0cd5a918e94777b8b5b377c722c.jpg"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inherit;"&gt;no.3&lt;/span&gt;&lt;/span&gt;&lt;/p&gt;&lt;p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inherit;"&gt;복천식품 소고기가 풍부한 미친 소불고기 덮밥 12팩, 180g&lt;/span&gt;&lt;/span&gt;&lt;/p&gt;&lt;p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inherit;"&gt;35,120원&lt;/span&gt;&lt;/span&gt;&lt;/p&gt;&lt;p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href="https://link.coupang.com/re/AFFSDP?lptag=AF9099466&amp;subid=jdh5202&amp;pageKey=4559619989&amp;itemId=5551458379&amp;vendorItemId=78520237631&amp;traceid=V0-153"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inherit;"&gt;(34)&lt;/span&gt;&lt;/a&gt;&lt;/span&gt;&lt;/p&gt;&lt;/td&gt;&lt;/tr&gt;&lt;/tbody&gt;&lt;/table&gt;</v>
      </c>
      <c r="C4" s="31" t="str">
        <f>검색!E11</f>
        <v>상품</v>
      </c>
      <c r="D4" s="46" t="s">
        <v>41</v>
      </c>
      <c r="E4" s="30" t="str">
        <f>"no."&amp;A4</f>
        <v>no.3</v>
      </c>
      <c r="F4" s="10" t="s">
        <v>42</v>
      </c>
      <c r="G4" s="10" t="str">
        <f>검색!B11</f>
        <v>복천식품 소고기가 풍부한 미친 소불고기 덮밥 12팩, 180g</v>
      </c>
      <c r="H4" s="10" t="s">
        <v>43</v>
      </c>
      <c r="I4" s="10" t="str">
        <f>검색!C11</f>
        <v>https://link.coupang.com/re/AFFSDP?lptag=AF9099466&amp;subid=jdh5202&amp;pageKey=4559619989&amp;itemId=5551458379&amp;vendorItemId=78520237631&amp;traceid=V0-153</v>
      </c>
      <c r="J4" s="10" t="s">
        <v>44</v>
      </c>
      <c r="K4" s="10" t="str">
        <f>검색!F11</f>
        <v>https://thumbnail10.coupangcdn.com/thumbnails/remote/230x230ex/image/vendor_inventory/6ebe/c2fdeee26d7fd6ece82ef28c5b895990b0cd5a918e94777b8b5b377c722c.jpg</v>
      </c>
      <c r="L4" s="10" t="s">
        <v>45</v>
      </c>
      <c r="M4" s="34">
        <f>IF(검색!B11&lt;&gt;"",검색!G11,"")</f>
        <v>35120</v>
      </c>
      <c r="N4" s="10" t="s">
        <v>46</v>
      </c>
      <c r="O4" s="10" t="str">
        <f>검색!C11</f>
        <v>https://link.coupang.com/re/AFFSDP?lptag=AF9099466&amp;subid=jdh5202&amp;pageKey=4559619989&amp;itemId=5551458379&amp;vendorItemId=78520237631&amp;traceid=V0-153</v>
      </c>
      <c r="P4" s="10" t="s">
        <v>47</v>
      </c>
      <c r="Q4" s="10">
        <f>IFERROR(ABS(검색!H11),"")</f>
        <v>34</v>
      </c>
      <c r="R4" s="10" t="s">
        <v>48</v>
      </c>
      <c r="T4" s="10">
        <v>3</v>
      </c>
    </row>
    <row r="5" spans="1:20" x14ac:dyDescent="0.3">
      <c r="A5" s="10">
        <v>4</v>
      </c>
      <c r="B5" s="29" t="str">
        <f>IF(검색!B12&lt;&gt;"",H5&amp;I5&amp;J5&amp;K5&amp;L5&amp;E5&amp;F5&amp;G5&amp;D5&amp;검색!L12&amp;N5&amp;O5&amp;P5&amp;Q5&amp;R5,"")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href="https://link.coupang.com/re/AFFSDP?lptag=AF9099466&amp;subid=jdh5202&amp;pageKey=59119541&amp;itemId=41577124&amp;vendorItemId=3063794528&amp;pickType=COU_PICK&amp;traceid=V0-153" target="_blank" class="con_link"&gt;&lt;img src="https://thumbnail7.coupangcdn.com/thumbnails/remote/230x230ex/image/retail/images/769745136041229-5eabc0c1-b309-45dc-bd48-81ec05d4b3b8.jpg"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inherit;"&gt;no.4&lt;/span&gt;&lt;/span&gt;&lt;/p&gt;&lt;p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맛있는 컵밥 오삼불고기덮밥, 280g,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inherit;"&gt;24,340원&lt;/span&gt;&lt;/span&gt;&lt;/p&gt;&lt;p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href="https://link.coupang.com/re/AFFSDP?lptag=AF9099466&amp;subid=jdh5202&amp;pageKey=59119541&amp;itemId=41577124&amp;vendorItemId=3063794528&amp;pickType=COU_PICK&amp;traceid=V0-153"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inherit;"&gt;(1812)&lt;/span&gt;&lt;/a&gt;&lt;/span&gt;&lt;/p&gt;&lt;/td&gt;&lt;/tr&gt;&lt;/tbody&gt;&lt;/table&gt;</v>
      </c>
      <c r="C5" s="31" t="str">
        <f>검색!E12</f>
        <v>광고</v>
      </c>
      <c r="D5" s="46" t="s">
        <v>41</v>
      </c>
      <c r="E5" s="30" t="str">
        <f>"no."&amp;A5</f>
        <v>no.4</v>
      </c>
      <c r="F5" s="10" t="s">
        <v>42</v>
      </c>
      <c r="G5" s="10" t="str">
        <f>검색!B12</f>
        <v>오뚜기 맛있는 컵밥 오삼불고기덮밥, 280g, 12개</v>
      </c>
      <c r="H5" s="10" t="s">
        <v>43</v>
      </c>
      <c r="I5" s="10" t="str">
        <f>검색!C12</f>
        <v>https://link.coupang.com/re/AFFSDP?lptag=AF9099466&amp;subid=jdh5202&amp;pageKey=59119541&amp;itemId=41577124&amp;vendorItemId=3063794528&amp;pickType=COU_PICK&amp;traceid=V0-153</v>
      </c>
      <c r="J5" s="10" t="s">
        <v>44</v>
      </c>
      <c r="K5" s="10" t="str">
        <f>검색!F12</f>
        <v>https://thumbnail7.coupangcdn.com/thumbnails/remote/230x230ex/image/retail/images/769745136041229-5eabc0c1-b309-45dc-bd48-81ec05d4b3b8.jpg</v>
      </c>
      <c r="L5" s="10" t="s">
        <v>45</v>
      </c>
      <c r="M5" s="34">
        <f>IF(검색!B12&lt;&gt;"",검색!G12,"")</f>
        <v>24340</v>
      </c>
      <c r="N5" s="10" t="s">
        <v>46</v>
      </c>
      <c r="O5" s="10" t="str">
        <f>검색!C12</f>
        <v>https://link.coupang.com/re/AFFSDP?lptag=AF9099466&amp;subid=jdh5202&amp;pageKey=59119541&amp;itemId=41577124&amp;vendorItemId=3063794528&amp;pickType=COU_PICK&amp;traceid=V0-153</v>
      </c>
      <c r="P5" s="10" t="s">
        <v>47</v>
      </c>
      <c r="Q5" s="10">
        <f>IFERROR(ABS(검색!H12),"")</f>
        <v>1812</v>
      </c>
      <c r="R5" s="10" t="s">
        <v>48</v>
      </c>
      <c r="T5" s="10">
        <v>4</v>
      </c>
    </row>
    <row r="6" spans="1:20" x14ac:dyDescent="0.3">
      <c r="A6" s="10">
        <v>5</v>
      </c>
      <c r="B6" s="29" t="str">
        <f>IF(검색!B13&lt;&gt;"",H6&amp;I6&amp;J6&amp;K6&amp;L6&amp;E6&amp;F6&amp;G6&amp;D6&amp;검색!L13&amp;N6&amp;O6&amp;P6&amp;Q6&amp;R6,"")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" target="_blank" class="con_link"&gt;&lt;img src="https://thumbnail10.coupangcdn.com/thumbnails/remote/230x230ex/image/retail/images/873371476681197-db5eacfb-7663-4729-a7ea-805a09ce6de3.png"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inherit;"&gt;no.5&lt;/span&gt;&lt;/span&gt;&lt;/p&gt;&lt;p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inherit;"&gt;티아시아키친 치킨 마크니 커리 170g + 게살 푸팟퐁 커리 170g + 비프 마살라 커리 170g + 스파이시 비프 마살라 커리 170g 세트, 1세트&lt;/span&gt;&lt;/span&gt;&lt;/p&gt;&lt;p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inherit;"&gt;8,360원&lt;/span&gt;&lt;/span&gt;&lt;/p&gt;&lt;p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inherit;"&gt;(3158)&lt;/span&gt;&lt;/a&gt;&lt;/span&gt;&lt;/p&gt;&lt;/td&gt;&lt;/tr&gt;&lt;/tbody&gt;&lt;/table&gt;</v>
      </c>
      <c r="C6" s="31" t="str">
        <f>검색!E13</f>
        <v>광고</v>
      </c>
      <c r="D6" s="46" t="s">
        <v>41</v>
      </c>
      <c r="E6" s="30" t="str">
        <f>"no."&amp;A6</f>
        <v>no.5</v>
      </c>
      <c r="F6" s="10" t="s">
        <v>42</v>
      </c>
      <c r="G6" s="10" t="str">
        <f>검색!B13</f>
        <v>티아시아키친 치킨 마크니 커리 170g + 게살 푸팟퐁 커리 170g + 비프 마살라 커리 170g + 스파이시 비프 마살라 커리 170g 세트, 1세트</v>
      </c>
      <c r="H6" s="10" t="s">
        <v>43</v>
      </c>
      <c r="I6" s="10" t="str">
        <f>검색!C13</f>
        <v>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</v>
      </c>
      <c r="J6" s="10" t="s">
        <v>44</v>
      </c>
      <c r="K6" s="10" t="str">
        <f>검색!F13</f>
        <v>https://thumbnail10.coupangcdn.com/thumbnails/remote/230x230ex/image/retail/images/873371476681197-db5eacfb-7663-4729-a7ea-805a09ce6de3.png</v>
      </c>
      <c r="L6" s="10" t="s">
        <v>45</v>
      </c>
      <c r="M6" s="34">
        <f>IF(검색!B13&lt;&gt;"",검색!G13,"")</f>
        <v>8360</v>
      </c>
      <c r="N6" s="10" t="s">
        <v>46</v>
      </c>
      <c r="O6" s="10" t="str">
        <f>검색!C13</f>
        <v>https://link.coupang.com/re/AFFSDP?lptag=AF9099466&amp;subid=jdh5202&amp;pageKey=5353216928&amp;itemId=7879001480&amp;vendorItemId=75168546266&amp;sourceType=srp_product_ads&amp;clickEventId=796f50c3-c0e6-4d87-bee9-ab17d1a77b86&amp;korePlacement=15&amp;koreSubPlacement=5&amp;clickEventId=796f50c3-c0e6-4d87-bee9-ab17d1a77b86&amp;korePlacement=15&amp;koreSubPlacement=5&amp;traceid=V0-153</v>
      </c>
      <c r="P6" s="10" t="s">
        <v>47</v>
      </c>
      <c r="Q6" s="10">
        <f>IFERROR(ABS(검색!H13),"")</f>
        <v>3158</v>
      </c>
      <c r="R6" s="10" t="s">
        <v>48</v>
      </c>
      <c r="T6" s="10">
        <v>5</v>
      </c>
    </row>
    <row r="7" spans="1:20" x14ac:dyDescent="0.3">
      <c r="A7" s="10">
        <v>6</v>
      </c>
      <c r="B7" s="29" t="str">
        <f>IF(검색!B14&lt;&gt;"",H7&amp;I7&amp;J7&amp;K7&amp;L7&amp;E7&amp;F7&amp;G7&amp;D7&amp;검색!L14&amp;N7&amp;O7&amp;P7&amp;Q7&amp;R7,"")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" target="_blank" class="con_link"&gt;&lt;img src="https://thumbnail9.coupangcdn.com/thumbnails/remote/230x230ex/image/vendor_inventory/ed88/b8ce29a9258cdf702162b41326b8173df763be5bbf7256cb91fe2071ad47.jpg"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inherit;"&gt;no.6&lt;/span&gt;&lt;/span&gt;&lt;/p&gt;&lt;p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inherit;"&gt;CJ햇반 간편식 컵밥 덮밥 26종류 미역 황태 제육 카레, CJ불고기덮밥&lt;/span&gt;&lt;/span&gt;&lt;/p&gt;&lt;p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inherit;"&gt;5,380원&lt;/span&gt;&lt;/span&gt;&lt;/p&gt;&lt;p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inherit;"&gt;(107)&lt;/span&gt;&lt;/a&gt;&lt;/span&gt;&lt;/p&gt;&lt;/td&gt;&lt;/tr&gt;&lt;/tbody&gt;&lt;/table&gt;</v>
      </c>
      <c r="C7" s="31" t="str">
        <f>검색!E14</f>
        <v>광고</v>
      </c>
      <c r="D7" s="46" t="s">
        <v>41</v>
      </c>
      <c r="E7" s="30" t="str">
        <f>"no."&amp;A7</f>
        <v>no.6</v>
      </c>
      <c r="F7" s="10" t="s">
        <v>42</v>
      </c>
      <c r="G7" s="10" t="str">
        <f>검색!B14</f>
        <v>CJ햇반 간편식 컵밥 덮밥 26종류 미역 황태 제육 카레, CJ불고기덮밥</v>
      </c>
      <c r="H7" s="10" t="s">
        <v>43</v>
      </c>
      <c r="I7" s="10" t="str">
        <f>검색!C14</f>
        <v>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</v>
      </c>
      <c r="J7" s="10" t="s">
        <v>44</v>
      </c>
      <c r="K7" s="10" t="str">
        <f>검색!F14</f>
        <v>https://thumbnail9.coupangcdn.com/thumbnails/remote/230x230ex/image/vendor_inventory/ed88/b8ce29a9258cdf702162b41326b8173df763be5bbf7256cb91fe2071ad47.jpg</v>
      </c>
      <c r="L7" s="10" t="s">
        <v>45</v>
      </c>
      <c r="M7" s="34">
        <f>IF(검색!B14&lt;&gt;"",검색!G14,"")</f>
        <v>5380</v>
      </c>
      <c r="N7" s="10" t="s">
        <v>46</v>
      </c>
      <c r="O7" s="10" t="str">
        <f>검색!C14</f>
        <v>https://link.coupang.com/re/AFFSDP?lptag=AF9099466&amp;subid=jdh5202&amp;pageKey=320621624&amp;itemId=1026027735&amp;vendorItemId=5531504529&amp;sourceType=srp_product_ads&amp;clickEventId=91d0ed69-9bac-4b5f-998a-1021555baffe&amp;korePlacement=15&amp;koreSubPlacement=6&amp;clickEventId=91d0ed69-9bac-4b5f-998a-1021555baffe&amp;korePlacement=15&amp;koreSubPlacement=6&amp;traceid=V0-153</v>
      </c>
      <c r="P7" s="10" t="s">
        <v>47</v>
      </c>
      <c r="Q7" s="10">
        <f>IFERROR(ABS(검색!H14),"")</f>
        <v>107</v>
      </c>
      <c r="R7" s="10" t="s">
        <v>48</v>
      </c>
      <c r="T7" s="10">
        <v>6</v>
      </c>
    </row>
    <row r="8" spans="1:20" x14ac:dyDescent="0.3">
      <c r="A8" s="10">
        <v>7</v>
      </c>
      <c r="B8" s="29" t="str">
        <f>IF(검색!B15&lt;&gt;"",H8&amp;I8&amp;J8&amp;K8&amp;L8&amp;E8&amp;F8&amp;G8&amp;D8&amp;검색!L15&amp;N8&amp;O8&amp;P8&amp;Q8&amp;R8,"")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href="https://link.coupang.com/re/AFFSDP?lptag=AF9099466&amp;subid=jdh5202&amp;pageKey=25419881&amp;itemId=98896879&amp;vendorItemId=3180508127&amp;traceid=V0-153" target="_blank" class="con_link"&gt;&lt;img src="https://thumbnail10.coupangcdn.com/thumbnails/remote/230x230ex/image/retail/images/176014076351882-06f25933-997a-4c78-91bf-277ab1dec65a.jpg"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inherit;"&gt;no.7&lt;/span&gt;&lt;/span&gt;&lt;/p&gt;&lt;p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뚝배기 불고기밥 컵밥, 290g,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inherit;"&gt;26,920원&lt;/span&gt;&lt;/span&gt;&lt;/p&gt;&lt;p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href="https://link.coupang.com/re/AFFSDP?lptag=AF9099466&amp;subid=jdh5202&amp;pageKey=25419881&amp;itemId=98896879&amp;vendorItemId=3180508127&amp;traceid=V0-153"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inherit;"&gt;(572)&lt;/span&gt;&lt;/a&gt;&lt;/span&gt;&lt;/p&gt;&lt;/td&gt;&lt;/tr&gt;&lt;/tbody&gt;&lt;/table&gt;</v>
      </c>
      <c r="C8" s="31" t="str">
        <f>검색!E15</f>
        <v>상품</v>
      </c>
      <c r="D8" s="46" t="s">
        <v>41</v>
      </c>
      <c r="E8" s="30" t="str">
        <f>"no."&amp;A8</f>
        <v>no.7</v>
      </c>
      <c r="F8" s="10" t="s">
        <v>42</v>
      </c>
      <c r="G8" s="10" t="str">
        <f>검색!B15</f>
        <v>오뚜기 뚝배기 불고기밥 컵밥, 290g, 12개</v>
      </c>
      <c r="H8" s="10" t="s">
        <v>43</v>
      </c>
      <c r="I8" s="10" t="str">
        <f>검색!C15</f>
        <v>https://link.coupang.com/re/AFFSDP?lptag=AF9099466&amp;subid=jdh5202&amp;pageKey=25419881&amp;itemId=98896879&amp;vendorItemId=3180508127&amp;traceid=V0-153</v>
      </c>
      <c r="J8" s="10" t="s">
        <v>44</v>
      </c>
      <c r="K8" s="10" t="str">
        <f>검색!F15</f>
        <v>https://thumbnail10.coupangcdn.com/thumbnails/remote/230x230ex/image/retail/images/176014076351882-06f25933-997a-4c78-91bf-277ab1dec65a.jpg</v>
      </c>
      <c r="L8" s="10" t="s">
        <v>45</v>
      </c>
      <c r="M8" s="34">
        <f>IF(검색!B15&lt;&gt;"",검색!G15,"")</f>
        <v>26920</v>
      </c>
      <c r="N8" s="10" t="s">
        <v>46</v>
      </c>
      <c r="O8" s="10" t="str">
        <f>검색!C15</f>
        <v>https://link.coupang.com/re/AFFSDP?lptag=AF9099466&amp;subid=jdh5202&amp;pageKey=25419881&amp;itemId=98896879&amp;vendorItemId=3180508127&amp;traceid=V0-153</v>
      </c>
      <c r="P8" s="10" t="s">
        <v>47</v>
      </c>
      <c r="Q8" s="10">
        <f>IFERROR(ABS(검색!H15),"")</f>
        <v>572</v>
      </c>
      <c r="R8" s="10" t="s">
        <v>48</v>
      </c>
      <c r="T8" s="10">
        <v>7</v>
      </c>
    </row>
    <row r="9" spans="1:20" x14ac:dyDescent="0.3">
      <c r="A9" s="10">
        <v>8</v>
      </c>
      <c r="B9" s="29" t="str">
        <f>IF(검색!B16&lt;&gt;"",H9&amp;I9&amp;J9&amp;K9&amp;L9&amp;E9&amp;F9&amp;G9&amp;D9&amp;검색!L16&amp;N9&amp;O9&amp;P9&amp;Q9&amp;R9,"")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href="https://link.coupang.com/re/AFFSDP?lptag=AF9099466&amp;subid=jdh5202&amp;pageKey=95752302&amp;itemId=295278470&amp;vendorItemId=5547092348&amp;traceid=V0-153" target="_blank" class="con_link"&gt;&lt;img src="https://thumbnail8.coupangcdn.com/thumbnails/remote/230x230ex/image/vendor_inventory/images/2018/05/29/11/9/0544db11-f702-44de-81a4-55dd9e0893c2.jpg"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inherit;"&gt;no.8&lt;/span&gt;&lt;/span&gt;&lt;/p&gt;&lt;p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inherit;"&gt;CJ제일제당 햇반 컵반X6개(18종 중 택1)/컵밥/간편식, 17.햇반 컵반 불고기덮밥X6개&lt;/span&gt;&lt;/span&gt;&lt;/p&gt;&lt;p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inherit;"&gt;17,630원&lt;/span&gt;&lt;/span&gt;&lt;/p&gt;&lt;p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href="https://link.coupang.com/re/AFFSDP?lptag=AF9099466&amp;subid=jdh5202&amp;pageKey=95752302&amp;itemId=295278470&amp;vendorItemId=5547092348&amp;traceid=V0-153"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inherit;"&gt;(1032)&lt;/span&gt;&lt;/a&gt;&lt;/span&gt;&lt;/p&gt;&lt;/td&gt;&lt;/tr&gt;&lt;/tbody&gt;&lt;/table&gt;</v>
      </c>
      <c r="C9" s="31" t="str">
        <f>검색!E16</f>
        <v>상품</v>
      </c>
      <c r="D9" s="46" t="s">
        <v>41</v>
      </c>
      <c r="E9" s="30" t="str">
        <f>"no."&amp;A9</f>
        <v>no.8</v>
      </c>
      <c r="F9" s="10" t="s">
        <v>42</v>
      </c>
      <c r="G9" s="10" t="str">
        <f>검색!B16</f>
        <v>CJ제일제당 햇반 컵반X6개(18종 중 택1)/컵밥/간편식, 17.햇반 컵반 불고기덮밥X6개</v>
      </c>
      <c r="H9" s="10" t="s">
        <v>43</v>
      </c>
      <c r="I9" s="10" t="str">
        <f>검색!C16</f>
        <v>https://link.coupang.com/re/AFFSDP?lptag=AF9099466&amp;subid=jdh5202&amp;pageKey=95752302&amp;itemId=295278470&amp;vendorItemId=5547092348&amp;traceid=V0-153</v>
      </c>
      <c r="J9" s="10" t="s">
        <v>44</v>
      </c>
      <c r="K9" s="10" t="str">
        <f>검색!F16</f>
        <v>https://thumbnail8.coupangcdn.com/thumbnails/remote/230x230ex/image/vendor_inventory/images/2018/05/29/11/9/0544db11-f702-44de-81a4-55dd9e0893c2.jpg</v>
      </c>
      <c r="L9" s="10" t="s">
        <v>45</v>
      </c>
      <c r="M9" s="34">
        <f>IF(검색!B16&lt;&gt;"",검색!G16,"")</f>
        <v>17630</v>
      </c>
      <c r="N9" s="10" t="s">
        <v>46</v>
      </c>
      <c r="O9" s="10" t="str">
        <f>검색!C16</f>
        <v>https://link.coupang.com/re/AFFSDP?lptag=AF9099466&amp;subid=jdh5202&amp;pageKey=95752302&amp;itemId=295278470&amp;vendorItemId=5547092348&amp;traceid=V0-153</v>
      </c>
      <c r="P9" s="10" t="s">
        <v>47</v>
      </c>
      <c r="Q9" s="10">
        <f>IFERROR(ABS(검색!H16),"")</f>
        <v>1032</v>
      </c>
      <c r="R9" s="10" t="s">
        <v>48</v>
      </c>
      <c r="T9" s="10">
        <v>8</v>
      </c>
    </row>
    <row r="10" spans="1:20" x14ac:dyDescent="0.3">
      <c r="A10" s="10">
        <v>9</v>
      </c>
      <c r="B10" s="29" t="str">
        <f>IF(검색!B17&lt;&gt;"",H10&amp;I10&amp;J10&amp;K10&amp;L10&amp;E10&amp;F10&amp;G10&amp;D10&amp;검색!L17&amp;N10&amp;O10&amp;P10&amp;Q10&amp;R10,"")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" target="_blank" class="con_link"&gt;&lt;img src="https://thumbnail9.coupangcdn.com/thumbnails/remote/230x230ex/image/vendor_inventory/ed88/b8ce29a9258cdf702162b41326b8173df763be5bbf7256cb91fe2071ad47.jpg"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inherit;"&gt;no.9&lt;/span&gt;&lt;/span&gt;&lt;/p&gt;&lt;p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inherit;"&gt;CJ햇반 간편식 컵밥 덮밥 26종류 미역 황태 제육 카레, 스팸마요덮밥&lt;/span&gt;&lt;/span&gt;&lt;/p&gt;&lt;p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inherit;"&gt;5,440원&lt;/span&gt;&lt;/span&gt;&lt;/p&gt;&lt;p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inherit;"&gt;(77)&lt;/span&gt;&lt;/a&gt;&lt;/span&gt;&lt;/p&gt;&lt;/td&gt;&lt;/tr&gt;&lt;/tbody&gt;&lt;/table&gt;</v>
      </c>
      <c r="C10" s="31" t="str">
        <f>검색!E17</f>
        <v>광고</v>
      </c>
      <c r="D10" s="46" t="s">
        <v>41</v>
      </c>
      <c r="E10" s="30" t="str">
        <f>"no."&amp;A10</f>
        <v>no.9</v>
      </c>
      <c r="F10" s="10" t="s">
        <v>42</v>
      </c>
      <c r="G10" s="10" t="str">
        <f>검색!B17</f>
        <v>CJ햇반 간편식 컵밥 덮밥 26종류 미역 황태 제육 카레, 스팸마요덮밥</v>
      </c>
      <c r="H10" s="10" t="s">
        <v>43</v>
      </c>
      <c r="I10" s="10" t="str">
        <f>검색!C17</f>
        <v>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</v>
      </c>
      <c r="J10" s="10" t="s">
        <v>44</v>
      </c>
      <c r="K10" s="10" t="str">
        <f>검색!F17</f>
        <v>https://thumbnail9.coupangcdn.com/thumbnails/remote/230x230ex/image/vendor_inventory/ed88/b8ce29a9258cdf702162b41326b8173df763be5bbf7256cb91fe2071ad47.jpg</v>
      </c>
      <c r="L10" s="10" t="s">
        <v>45</v>
      </c>
      <c r="M10" s="34">
        <f>IF(검색!B17&lt;&gt;"",검색!G17,"")</f>
        <v>5440</v>
      </c>
      <c r="N10" s="10" t="s">
        <v>46</v>
      </c>
      <c r="O10" s="10" t="str">
        <f>검색!C17</f>
        <v>https://link.coupang.com/re/AFFSDP?lptag=AF9099466&amp;subid=jdh5202&amp;pageKey=2047580940&amp;itemId=3480775325&amp;vendorItemId=5531504397&amp;sourceType=srp_product_ads&amp;clickEventId=23077584-382d-4885-b2c6-557b03000440&amp;korePlacement=15&amp;koreSubPlacement=9&amp;clickEventId=23077584-382d-4885-b2c6-557b03000440&amp;korePlacement=15&amp;koreSubPlacement=9&amp;traceid=V0-153</v>
      </c>
      <c r="P10" s="10" t="s">
        <v>47</v>
      </c>
      <c r="Q10" s="10">
        <f>IFERROR(ABS(검색!H17),"")</f>
        <v>77</v>
      </c>
      <c r="R10" s="10" t="s">
        <v>48</v>
      </c>
      <c r="T10" s="10">
        <v>9</v>
      </c>
    </row>
    <row r="11" spans="1:20" x14ac:dyDescent="0.3">
      <c r="A11" s="10">
        <v>10</v>
      </c>
      <c r="B11" s="29" t="str">
        <f>IF(검색!B18&lt;&gt;"",H11&amp;I11&amp;J11&amp;K11&amp;L11&amp;E11&amp;F11&amp;G11&amp;D11&amp;검색!L18&amp;N11&amp;O11&amp;P11&amp;Q11&amp;R11,"")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href="https://link.coupang.com/re/AFFSDP?lptag=AF9099466&amp;subid=jdh5202&amp;pageKey=1365646493&amp;itemId=3404436466&amp;vendorItemId=76395149724&amp;traceid=V0-153" target="_blank" class="con_link"&gt;&lt;img src="https://thumbnail6.coupangcdn.com/thumbnails/remote/230x230ex/image/vendor_inventory/def7/ae7ca678baa96eba529131000b929e0f34867f7d990978c696835c7ec6fd.jpg"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inherit;"&gt;no.10&lt;/span&gt;&lt;/span&gt;&lt;/p&gt;&lt;p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 불고기 덮밥, 250g, 5개&lt;/span&gt;&lt;/span&gt;&lt;/p&gt;&lt;p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href="https://link.coupang.com/re/AFFSDP?lptag=AF9099466&amp;subid=jdh5202&amp;pageKey=1365646493&amp;itemId=3404436466&amp;vendorItemId=76395149724&amp;traceid=V0-153"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inherit;"&gt;(29)&lt;/span&gt;&lt;/a&gt;&lt;/span&gt;&lt;/p&gt;&lt;/td&gt;&lt;/tr&gt;&lt;/tbody&gt;&lt;/table&gt;</v>
      </c>
      <c r="C11" s="31" t="str">
        <f>검색!E18</f>
        <v>상품</v>
      </c>
      <c r="D11" s="46" t="s">
        <v>41</v>
      </c>
      <c r="E11" s="30" t="str">
        <f>"no."&amp;A11</f>
        <v>no.10</v>
      </c>
      <c r="F11" s="10" t="s">
        <v>42</v>
      </c>
      <c r="G11" s="10" t="str">
        <f>검색!B18</f>
        <v>햇반 컵반 직화 불고기 덮밥, 250g, 5개</v>
      </c>
      <c r="H11" s="10" t="s">
        <v>43</v>
      </c>
      <c r="I11" s="10" t="str">
        <f>검색!C18</f>
        <v>https://link.coupang.com/re/AFFSDP?lptag=AF9099466&amp;subid=jdh5202&amp;pageKey=1365646493&amp;itemId=3404436466&amp;vendorItemId=76395149724&amp;traceid=V0-153</v>
      </c>
      <c r="J11" s="10" t="s">
        <v>44</v>
      </c>
      <c r="K11" s="10" t="str">
        <f>검색!F18</f>
        <v>https://thumbnail6.coupangcdn.com/thumbnails/remote/230x230ex/image/vendor_inventory/def7/ae7ca678baa96eba529131000b929e0f34867f7d990978c696835c7ec6fd.jpg</v>
      </c>
      <c r="L11" s="10" t="s">
        <v>45</v>
      </c>
      <c r="M11" s="34">
        <f>IF(검색!B18&lt;&gt;"",검색!G18,"")</f>
        <v>17500</v>
      </c>
      <c r="N11" s="10" t="s">
        <v>46</v>
      </c>
      <c r="O11" s="10" t="str">
        <f>검색!C18</f>
        <v>https://link.coupang.com/re/AFFSDP?lptag=AF9099466&amp;subid=jdh5202&amp;pageKey=1365646493&amp;itemId=3404436466&amp;vendorItemId=76395149724&amp;traceid=V0-153</v>
      </c>
      <c r="P11" s="10" t="s">
        <v>47</v>
      </c>
      <c r="Q11" s="10">
        <f>IFERROR(ABS(검색!H18),"")</f>
        <v>29</v>
      </c>
      <c r="R11" s="10" t="s">
        <v>48</v>
      </c>
      <c r="T11" s="10">
        <v>10</v>
      </c>
    </row>
    <row r="12" spans="1:20" x14ac:dyDescent="0.3">
      <c r="A12" s="10">
        <v>11</v>
      </c>
      <c r="B12" s="29" t="str">
        <f>IF(검색!B19&lt;&gt;"",H12&amp;I12&amp;J12&amp;K12&amp;L12&amp;E12&amp;F12&amp;G12&amp;D12&amp;검색!L19&amp;N12&amp;O12&amp;P12&amp;Q12&amp;R12,"")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href="https://link.coupang.com/re/AFFSDP?lptag=AF9099466&amp;subid=jdh5202&amp;pageKey=1696221795&amp;itemId=2887423507&amp;vendorItemId=73671647632&amp;traceid=V0-153" target="_blank" class="con_link"&gt;&lt;img src="https://thumbnail7.coupangcdn.com/thumbnails/remote/230x230ex/image/vendor_inventory/55f4/baca5e90e76016ebef86a3bb6ce6d47297344b6fb3960af8cef364be1a59.jpg"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inherit;"&gt;no.11&lt;/span&gt;&lt;/span&gt;&lt;/p&gt;&lt;p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inherit;"&gt;피코크 밥 한그릇 뚝딱 불고기덮밥소스 130g, 1개&lt;/span&gt;&lt;/span&gt;&lt;/p&gt;&lt;p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inherit;"&gt;5,250원&lt;/span&gt;&lt;/span&gt;&lt;/p&gt;&lt;p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href="https://link.coupang.com/re/AFFSDP?lptag=AF9099466&amp;subid=jdh5202&amp;pageKey=1696221795&amp;itemId=2887423507&amp;vendorItemId=73671647632&amp;traceid=V0-153"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C12" s="31" t="str">
        <f>검색!E19</f>
        <v>상품</v>
      </c>
      <c r="D12" s="46" t="s">
        <v>41</v>
      </c>
      <c r="E12" s="30" t="str">
        <f>"no."&amp;A12</f>
        <v>no.11</v>
      </c>
      <c r="F12" s="10" t="s">
        <v>42</v>
      </c>
      <c r="G12" s="10" t="str">
        <f>검색!B19</f>
        <v>피코크 밥 한그릇 뚝딱 불고기덮밥소스 130g, 1개</v>
      </c>
      <c r="H12" s="10" t="s">
        <v>43</v>
      </c>
      <c r="I12" s="10" t="str">
        <f>검색!C19</f>
        <v>https://link.coupang.com/re/AFFSDP?lptag=AF9099466&amp;subid=jdh5202&amp;pageKey=1696221795&amp;itemId=2887423507&amp;vendorItemId=73671647632&amp;traceid=V0-153</v>
      </c>
      <c r="J12" s="10" t="s">
        <v>44</v>
      </c>
      <c r="K12" s="10" t="str">
        <f>검색!F19</f>
        <v>https://thumbnail7.coupangcdn.com/thumbnails/remote/230x230ex/image/vendor_inventory/55f4/baca5e90e76016ebef86a3bb6ce6d47297344b6fb3960af8cef364be1a59.jpg</v>
      </c>
      <c r="L12" s="10" t="s">
        <v>45</v>
      </c>
      <c r="M12" s="34">
        <f>IF(검색!B19&lt;&gt;"",검색!G19,"")</f>
        <v>5250</v>
      </c>
      <c r="N12" s="10" t="s">
        <v>46</v>
      </c>
      <c r="O12" s="10" t="str">
        <f>검색!C19</f>
        <v>https://link.coupang.com/re/AFFSDP?lptag=AF9099466&amp;subid=jdh5202&amp;pageKey=1696221795&amp;itemId=2887423507&amp;vendorItemId=73671647632&amp;traceid=V0-153</v>
      </c>
      <c r="P12" s="10" t="s">
        <v>47</v>
      </c>
      <c r="Q12" s="10">
        <f>IFERROR(ABS(검색!H19),"")</f>
        <v>2</v>
      </c>
      <c r="R12" s="10" t="s">
        <v>48</v>
      </c>
      <c r="T12" s="10">
        <v>11</v>
      </c>
    </row>
    <row r="13" spans="1:20" x14ac:dyDescent="0.3">
      <c r="A13" s="10">
        <v>12</v>
      </c>
      <c r="B13" s="29" t="str">
        <f>IF(검색!B20&lt;&gt;"",H13&amp;I13&amp;J13&amp;K13&amp;L13&amp;E13&amp;F13&amp;G13&amp;D13&amp;검색!L20&amp;N13&amp;O13&amp;P13&amp;Q13&amp;R13,"")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href="https://link.coupang.com/re/AFFSDP?lptag=AF9099466&amp;subid=jdh5202&amp;pageKey=5225821361&amp;itemId=7344471569&amp;vendorItemId=74635680824&amp;traceid=V0-153" target="_blank" class="con_link"&gt;&lt;img src="https://thumbnail6.coupangcdn.com/thumbnails/remote/230x230ex/image/vendor_inventory/5154/623ee2465de7f428a73d0af6320774df63d61f2d392efc46da77c67e0c5c.png"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inherit;"&gt;no.12&lt;/span&gt;&lt;/span&gt;&lt;/p&gt;&lt;p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직화불고기덮밥 257g, 5개&lt;/span&gt;&lt;/span&gt;&lt;/p&gt;&lt;p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inherit;"&gt;17,080원&lt;/span&gt;&lt;/span&gt;&lt;/p&gt;&lt;p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href="https://link.coupang.com/re/AFFSDP?lptag=AF9099466&amp;subid=jdh5202&amp;pageKey=5225821361&amp;itemId=7344471569&amp;vendorItemId=74635680824&amp;traceid=V0-153"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C13" s="31" t="str">
        <f>검색!E20</f>
        <v>상품</v>
      </c>
      <c r="D13" s="46" t="s">
        <v>41</v>
      </c>
      <c r="E13" s="30" t="str">
        <f>"no."&amp;A13</f>
        <v>no.12</v>
      </c>
      <c r="F13" s="10" t="s">
        <v>42</v>
      </c>
      <c r="G13" s="10" t="str">
        <f>검색!B20</f>
        <v>햇반 컵반 직화불고기덮밥 257g, 5개</v>
      </c>
      <c r="H13" s="10" t="s">
        <v>43</v>
      </c>
      <c r="I13" s="10" t="str">
        <f>검색!C20</f>
        <v>https://link.coupang.com/re/AFFSDP?lptag=AF9099466&amp;subid=jdh5202&amp;pageKey=5225821361&amp;itemId=7344471569&amp;vendorItemId=74635680824&amp;traceid=V0-153</v>
      </c>
      <c r="J13" s="10" t="s">
        <v>44</v>
      </c>
      <c r="K13" s="10" t="str">
        <f>검색!F20</f>
        <v>https://thumbnail6.coupangcdn.com/thumbnails/remote/230x230ex/image/vendor_inventory/5154/623ee2465de7f428a73d0af6320774df63d61f2d392efc46da77c67e0c5c.png</v>
      </c>
      <c r="L13" s="10" t="s">
        <v>45</v>
      </c>
      <c r="M13" s="34">
        <f>IF(검색!B20&lt;&gt;"",검색!G20,"")</f>
        <v>17080</v>
      </c>
      <c r="N13" s="10" t="s">
        <v>46</v>
      </c>
      <c r="O13" s="10" t="str">
        <f>검색!C20</f>
        <v>https://link.coupang.com/re/AFFSDP?lptag=AF9099466&amp;subid=jdh5202&amp;pageKey=5225821361&amp;itemId=7344471569&amp;vendorItemId=74635680824&amp;traceid=V0-153</v>
      </c>
      <c r="P13" s="10" t="s">
        <v>47</v>
      </c>
      <c r="Q13" s="10">
        <f>IFERROR(ABS(검색!H20),"")</f>
        <v>2</v>
      </c>
      <c r="R13" s="10" t="s">
        <v>48</v>
      </c>
      <c r="T13" s="10">
        <v>12</v>
      </c>
    </row>
    <row r="14" spans="1:20" x14ac:dyDescent="0.3">
      <c r="A14" s="10">
        <v>13</v>
      </c>
      <c r="B14" s="29" t="str">
        <f>IF(검색!B21&lt;&gt;"",H14&amp;I14&amp;J14&amp;K14&amp;L14&amp;E14&amp;F14&amp;G14&amp;D14&amp;검색!L21&amp;N14&amp;O14&amp;P14&amp;Q14&amp;R14,"")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href="https://link.coupang.com/re/AFFSDP?lptag=AF9099466&amp;subid=jdh5202&amp;pageKey=5677767334&amp;itemId=9368762033&amp;vendorItemId=76653955567&amp;traceid=V0-153" target="_blank" class="con_link"&gt;&lt;img src="https://thumbnail6.coupangcdn.com/thumbnails/remote/230x230ex/image/vendor_inventory/f997/05df6b0980856aa383152f7b427f179565b89bad1740b134c8ebfde29e08.jpg"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inherit;"&gt;no.13&lt;/span&gt;&lt;/span&gt;&lt;/p&gt;&lt;p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inherit;"&gt;오뚜기 컵밥 증량Up! 6종 세트 (차돌강된장보리밥+제육덮밥+오삼불고기덮밥+춘천닭갈비덮밥+매콤낙지덮밥+서울식설렁탕) + 블루존물티슈, 1세트&lt;/span&gt;&lt;/span&gt;&lt;/p&gt;&lt;p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inherit;"&gt;21,320원&lt;/span&gt;&lt;/span&gt;&lt;/p&gt;&lt;p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href="https://link.coupang.com/re/AFFSDP?lptag=AF9099466&amp;subid=jdh5202&amp;pageKey=5677767334&amp;itemId=9368762033&amp;vendorItemId=76653955567&amp;traceid=V0-153"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inherit;"&gt;(63)&lt;/span&gt;&lt;/a&gt;&lt;/span&gt;&lt;/p&gt;&lt;/td&gt;&lt;/tr&gt;&lt;/tbody&gt;&lt;/table&gt;</v>
      </c>
      <c r="C14" s="31" t="str">
        <f>검색!E21</f>
        <v>상품</v>
      </c>
      <c r="D14" s="46" t="s">
        <v>41</v>
      </c>
      <c r="E14" s="30" t="str">
        <f>"no."&amp;A14</f>
        <v>no.13</v>
      </c>
      <c r="F14" s="10" t="s">
        <v>42</v>
      </c>
      <c r="G14" s="10" t="str">
        <f>검색!B21</f>
        <v>오뚜기 컵밥 증량Up! 6종 세트 (차돌강된장보리밥+제육덮밥+오삼불고기덮밥+춘천닭갈비덮밥+매콤낙지덮밥+서울식설렁탕) + 블루존물티슈, 1세트</v>
      </c>
      <c r="H14" s="10" t="s">
        <v>43</v>
      </c>
      <c r="I14" s="10" t="str">
        <f>검색!C21</f>
        <v>https://link.coupang.com/re/AFFSDP?lptag=AF9099466&amp;subid=jdh5202&amp;pageKey=5677767334&amp;itemId=9368762033&amp;vendorItemId=76653955567&amp;traceid=V0-153</v>
      </c>
      <c r="J14" s="10" t="s">
        <v>44</v>
      </c>
      <c r="K14" s="10" t="str">
        <f>검색!F21</f>
        <v>https://thumbnail6.coupangcdn.com/thumbnails/remote/230x230ex/image/vendor_inventory/f997/05df6b0980856aa383152f7b427f179565b89bad1740b134c8ebfde29e08.jpg</v>
      </c>
      <c r="L14" s="10" t="s">
        <v>45</v>
      </c>
      <c r="M14" s="34">
        <f>IF(검색!B21&lt;&gt;"",검색!G21,"")</f>
        <v>21320</v>
      </c>
      <c r="N14" s="10" t="s">
        <v>46</v>
      </c>
      <c r="O14" s="10" t="str">
        <f>검색!C21</f>
        <v>https://link.coupang.com/re/AFFSDP?lptag=AF9099466&amp;subid=jdh5202&amp;pageKey=5677767334&amp;itemId=9368762033&amp;vendorItemId=76653955567&amp;traceid=V0-153</v>
      </c>
      <c r="P14" s="10" t="s">
        <v>47</v>
      </c>
      <c r="Q14" s="10">
        <f>IFERROR(ABS(검색!H21),"")</f>
        <v>63</v>
      </c>
      <c r="R14" s="10" t="s">
        <v>48</v>
      </c>
      <c r="T14" s="10">
        <v>13</v>
      </c>
    </row>
    <row r="15" spans="1:20" x14ac:dyDescent="0.3">
      <c r="A15" s="10">
        <v>14</v>
      </c>
      <c r="B15" s="29" t="str">
        <f>IF(검색!B22&lt;&gt;"",H15&amp;I15&amp;J15&amp;K15&amp;L15&amp;E15&amp;F15&amp;G15&amp;D15&amp;검색!L22&amp;N15&amp;O15&amp;P15&amp;Q15&amp;R15,"")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href="https://link.coupang.com/re/AFFSDP?lptag=AF9099466&amp;subid=jdh5202&amp;pageKey=4952281239&amp;itemId=6544892030&amp;vendorItemId=78302317701&amp;traceid=V0-153" target="_blank" class="con_link"&gt;&lt;img src="https://thumbnail10.coupangcdn.com/thumbnails/remote/230x230ex/image/vendor_inventory/cee8/941ec36f1fabc2d13103678e1635f15095eae0ccd547993d4294a47befa6.jpg"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inherit;"&gt;no.14&lt;/span&gt;&lt;/span&gt;&lt;/p&gt;&lt;p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inherit;"&gt;컵반 직화불고기덮밥250g 4입&lt;/span&gt;&lt;/span&gt;&lt;/p&gt;&lt;p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inherit;"&gt;17,300원&lt;/span&gt;&lt;/span&gt;&lt;/p&gt;&lt;p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href="https://link.coupang.com/re/AFFSDP?lptag=AF9099466&amp;subid=jdh5202&amp;pageKey=4952281239&amp;itemId=6544892030&amp;vendorItemId=78302317701&amp;traceid=V0-153"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inherit;"&gt;(0)&lt;/span&gt;&lt;/a&gt;&lt;/span&gt;&lt;/p&gt;&lt;/td&gt;&lt;/tr&gt;&lt;/tbody&gt;&lt;/table&gt;</v>
      </c>
      <c r="C15" s="31" t="str">
        <f>검색!E22</f>
        <v>상품</v>
      </c>
      <c r="D15" s="46" t="s">
        <v>41</v>
      </c>
      <c r="E15" s="30" t="str">
        <f>"no."&amp;A15</f>
        <v>no.14</v>
      </c>
      <c r="F15" s="10" t="s">
        <v>42</v>
      </c>
      <c r="G15" s="10" t="str">
        <f>검색!B22</f>
        <v>컵반 직화불고기덮밥250g 4입</v>
      </c>
      <c r="H15" s="10" t="s">
        <v>43</v>
      </c>
      <c r="I15" s="10" t="str">
        <f>검색!C22</f>
        <v>https://link.coupang.com/re/AFFSDP?lptag=AF9099466&amp;subid=jdh5202&amp;pageKey=4952281239&amp;itemId=6544892030&amp;vendorItemId=78302317701&amp;traceid=V0-153</v>
      </c>
      <c r="J15" s="10" t="s">
        <v>44</v>
      </c>
      <c r="K15" s="10" t="str">
        <f>검색!F22</f>
        <v>https://thumbnail10.coupangcdn.com/thumbnails/remote/230x230ex/image/vendor_inventory/cee8/941ec36f1fabc2d13103678e1635f15095eae0ccd547993d4294a47befa6.jpg</v>
      </c>
      <c r="L15" s="10" t="s">
        <v>45</v>
      </c>
      <c r="M15" s="34">
        <f>IF(검색!B22&lt;&gt;"",검색!G22,"")</f>
        <v>17300</v>
      </c>
      <c r="N15" s="10" t="s">
        <v>46</v>
      </c>
      <c r="O15" s="10" t="str">
        <f>검색!C22</f>
        <v>https://link.coupang.com/re/AFFSDP?lptag=AF9099466&amp;subid=jdh5202&amp;pageKey=4952281239&amp;itemId=6544892030&amp;vendorItemId=78302317701&amp;traceid=V0-153</v>
      </c>
      <c r="P15" s="10" t="s">
        <v>47</v>
      </c>
      <c r="Q15" s="10">
        <f>IFERROR(ABS(검색!H22),"")</f>
        <v>0</v>
      </c>
      <c r="R15" s="10" t="s">
        <v>48</v>
      </c>
      <c r="T15" s="10">
        <v>14</v>
      </c>
    </row>
    <row r="16" spans="1:20" x14ac:dyDescent="0.3">
      <c r="A16" s="10">
        <v>15</v>
      </c>
      <c r="B16" s="29" t="str">
        <f>IF(검색!B23&lt;&gt;"",H16&amp;I16&amp;J16&amp;K16&amp;L16&amp;E16&amp;F16&amp;G16&amp;D16&amp;검색!L23&amp;N16&amp;O16&amp;P16&amp;Q16&amp;R16,"")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href="https://link.coupang.com/re/AFFSDP?lptag=AF9099466&amp;subid=jdh5202&amp;pageKey=226324078&amp;itemId=717049857&amp;vendorItemId=4815148797&amp;traceid=V0-153" target="_blank" class="con_link"&gt;&lt;img src="https://thumbnail8.coupangcdn.com/thumbnails/remote/230x230ex/image/vendor_inventory/aa9e/53b6ea2d81c1e88a7f594ad59742b582854c6af821d72cc4bf86c3c4eac3.jpg"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inherit;"&gt;no.15&lt;/span&gt;&lt;/span&gt;&lt;/p&gt;&lt;p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inherit;"&gt;더빱 덮밥소스 소불고기 210g x 5봉 컵밥 전자렌지간편식&lt;/span&gt;&lt;/span&gt;&lt;/p&gt;&lt;p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inherit;"&gt;13,120원&lt;/span&gt;&lt;/span&gt;&lt;/p&gt;&lt;p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href="https://link.coupang.com/re/AFFSDP?lptag=AF9099466&amp;subid=jdh5202&amp;pageKey=226324078&amp;itemId=717049857&amp;vendorItemId=4815148797&amp;traceid=V0-153"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inherit;"&gt;(3)&lt;/span&gt;&lt;/a&gt;&lt;/span&gt;&lt;/p&gt;&lt;/td&gt;&lt;/tr&gt;&lt;/tbody&gt;&lt;/table&gt;</v>
      </c>
      <c r="C16" s="31" t="str">
        <f>검색!E23</f>
        <v>상품</v>
      </c>
      <c r="D16" s="46" t="s">
        <v>41</v>
      </c>
      <c r="E16" s="30" t="str">
        <f>"no."&amp;A16</f>
        <v>no.15</v>
      </c>
      <c r="F16" s="10" t="s">
        <v>42</v>
      </c>
      <c r="G16" s="10" t="str">
        <f>검색!B23</f>
        <v>더빱 덮밥소스 소불고기 210g x 5봉 컵밥 전자렌지간편식</v>
      </c>
      <c r="H16" s="10" t="s">
        <v>43</v>
      </c>
      <c r="I16" s="10" t="str">
        <f>검색!C23</f>
        <v>https://link.coupang.com/re/AFFSDP?lptag=AF9099466&amp;subid=jdh5202&amp;pageKey=226324078&amp;itemId=717049857&amp;vendorItemId=4815148797&amp;traceid=V0-153</v>
      </c>
      <c r="J16" s="10" t="s">
        <v>44</v>
      </c>
      <c r="K16" s="10" t="str">
        <f>검색!F23</f>
        <v>https://thumbnail8.coupangcdn.com/thumbnails/remote/230x230ex/image/vendor_inventory/aa9e/53b6ea2d81c1e88a7f594ad59742b582854c6af821d72cc4bf86c3c4eac3.jpg</v>
      </c>
      <c r="L16" s="10" t="s">
        <v>45</v>
      </c>
      <c r="M16" s="34">
        <f>IF(검색!B23&lt;&gt;"",검색!G23,"")</f>
        <v>13120</v>
      </c>
      <c r="N16" s="10" t="s">
        <v>46</v>
      </c>
      <c r="O16" s="10" t="str">
        <f>검색!C23</f>
        <v>https://link.coupang.com/re/AFFSDP?lptag=AF9099466&amp;subid=jdh5202&amp;pageKey=226324078&amp;itemId=717049857&amp;vendorItemId=4815148797&amp;traceid=V0-153</v>
      </c>
      <c r="P16" s="10" t="s">
        <v>47</v>
      </c>
      <c r="Q16" s="10">
        <f>IFERROR(ABS(검색!H23),"")</f>
        <v>3</v>
      </c>
      <c r="R16" s="10" t="s">
        <v>48</v>
      </c>
      <c r="T16" s="10">
        <v>15</v>
      </c>
    </row>
    <row r="17" spans="1:20" x14ac:dyDescent="0.3">
      <c r="A17" s="10">
        <v>16</v>
      </c>
      <c r="B17" s="29" t="str">
        <f>IF(검색!B24&lt;&gt;"",H17&amp;I17&amp;J17&amp;K17&amp;L17&amp;E17&amp;F17&amp;G17&amp;D17&amp;검색!L24&amp;N17&amp;O17&amp;P17&amp;Q17&amp;R17,"")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href="https://link.coupang.com/re/AFFSDP?lptag=AF9099466&amp;subid=jdh5202&amp;pageKey=5780402980&amp;itemId=9848772339&amp;vendorItemId=77132208274&amp;traceid=V0-153" target="_blank" class="con_link"&gt;&lt;img src="https://thumbnail9.coupangcdn.com/thumbnails/remote/230x230ex/image/vendor_inventory/a13b/993e967011da734be9552cb2fa3f9bea626c8925347b8dd0415e31a445e4.jpg"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inherit;"&gt;no.16&lt;/span&gt;&lt;/span&gt;&lt;/p&gt;&lt;p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 컵반 철판제육덮밥3개+직화짜장덮밥3개+직화불고기덮밥3개+미역국밥3개, CJ컵반 제육덮밥+직화짜장+직화불고기+미역3개씩&lt;/span&gt;&lt;/span&gt;&lt;/p&gt;&lt;p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inherit;"&gt;35,800원&lt;/span&gt;&lt;/span&gt;&lt;/p&gt;&lt;p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href="https://link.coupang.com/re/AFFSDP?lptag=AF9099466&amp;subid=jdh5202&amp;pageKey=5780402980&amp;itemId=9848772339&amp;vendorItemId=77132208274&amp;traceid=V0-153"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inherit;"&gt;(8)&lt;/span&gt;&lt;/a&gt;&lt;/span&gt;&lt;/p&gt;&lt;/td&gt;&lt;/tr&gt;&lt;/tbody&gt;&lt;/table&gt;</v>
      </c>
      <c r="C17" s="31" t="str">
        <f>검색!E24</f>
        <v>상품</v>
      </c>
      <c r="D17" s="46" t="s">
        <v>41</v>
      </c>
      <c r="E17" s="30" t="str">
        <f>"no."&amp;A17</f>
        <v>no.16</v>
      </c>
      <c r="F17" s="10" t="s">
        <v>42</v>
      </c>
      <c r="G17" s="10" t="str">
        <f>검색!B24</f>
        <v>CJ 컵반 철판제육덮밥3개+직화짜장덮밥3개+직화불고기덮밥3개+미역국밥3개, CJ컵반 제육덮밥+직화짜장+직화불고기+미역3개씩</v>
      </c>
      <c r="H17" s="10" t="s">
        <v>43</v>
      </c>
      <c r="I17" s="10" t="str">
        <f>검색!C24</f>
        <v>https://link.coupang.com/re/AFFSDP?lptag=AF9099466&amp;subid=jdh5202&amp;pageKey=5780402980&amp;itemId=9848772339&amp;vendorItemId=77132208274&amp;traceid=V0-153</v>
      </c>
      <c r="J17" s="10" t="s">
        <v>44</v>
      </c>
      <c r="K17" s="10" t="str">
        <f>검색!F24</f>
        <v>https://thumbnail9.coupangcdn.com/thumbnails/remote/230x230ex/image/vendor_inventory/a13b/993e967011da734be9552cb2fa3f9bea626c8925347b8dd0415e31a445e4.jpg</v>
      </c>
      <c r="L17" s="10" t="s">
        <v>45</v>
      </c>
      <c r="M17" s="34">
        <f>IF(검색!B24&lt;&gt;"",검색!G24,"")</f>
        <v>35800</v>
      </c>
      <c r="N17" s="10" t="s">
        <v>46</v>
      </c>
      <c r="O17" s="10" t="str">
        <f>검색!C24</f>
        <v>https://link.coupang.com/re/AFFSDP?lptag=AF9099466&amp;subid=jdh5202&amp;pageKey=5780402980&amp;itemId=9848772339&amp;vendorItemId=77132208274&amp;traceid=V0-153</v>
      </c>
      <c r="P17" s="10" t="s">
        <v>47</v>
      </c>
      <c r="Q17" s="10">
        <f>IFERROR(ABS(검색!H24),"")</f>
        <v>8</v>
      </c>
      <c r="R17" s="10" t="s">
        <v>48</v>
      </c>
      <c r="T17" s="10">
        <v>16</v>
      </c>
    </row>
    <row r="18" spans="1:20" x14ac:dyDescent="0.3">
      <c r="A18" s="10">
        <v>17</v>
      </c>
      <c r="B18" s="29" t="str">
        <f>IF(검색!B25&lt;&gt;"",H18&amp;I18&amp;J18&amp;K18&amp;L18&amp;E18&amp;F18&amp;G18&amp;D18&amp;검색!L25&amp;N18&amp;O18&amp;P18&amp;Q18&amp;R18,"")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href="https://link.coupang.com/re/AFFSDP?lptag=AF9099466&amp;subid=jdh5202&amp;pageKey=293461210&amp;itemId=926535428&amp;vendorItemId=5543820019&amp;traceid=V0-153" target="_blank" class="con_link"&gt;&lt;img src="https://thumbnail9.coupangcdn.com/thumbnails/remote/230x230ex/image/vendor_inventory/d30c/c26f6ec2cc4a25abccc380cb6a09f493366a8db7bb44cb86c55a12bd5ae6.jpg"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inherit;"&gt;no.17&lt;/span&gt;&lt;/span&gt;&lt;/p&gt;&lt;p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inherit;"&gt;CJ컵반 CJ햇반 컵반 불고기덮밥 250g 컵밥 국밥 즉석밥 간편식, 1개&lt;/span&gt;&lt;/span&gt;&lt;/p&gt;&lt;p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inherit;"&gt;4,800원&lt;/span&gt;&lt;/span&gt;&lt;/p&gt;&lt;p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href="https://link.coupang.com/re/AFFSDP?lptag=AF9099466&amp;subid=jdh5202&amp;pageKey=293461210&amp;itemId=926535428&amp;vendorItemId=5543820019&amp;traceid=V0-153"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C18" s="31" t="str">
        <f>검색!E25</f>
        <v>상품</v>
      </c>
      <c r="D18" s="46" t="s">
        <v>41</v>
      </c>
      <c r="E18" s="30" t="str">
        <f>"no."&amp;A18</f>
        <v>no.17</v>
      </c>
      <c r="F18" s="10" t="s">
        <v>42</v>
      </c>
      <c r="G18" s="10" t="str">
        <f>검색!B25</f>
        <v>CJ컵반 CJ햇반 컵반 불고기덮밥 250g 컵밥 국밥 즉석밥 간편식, 1개</v>
      </c>
      <c r="H18" s="10" t="s">
        <v>43</v>
      </c>
      <c r="I18" s="10" t="str">
        <f>검색!C25</f>
        <v>https://link.coupang.com/re/AFFSDP?lptag=AF9099466&amp;subid=jdh5202&amp;pageKey=293461210&amp;itemId=926535428&amp;vendorItemId=5543820019&amp;traceid=V0-153</v>
      </c>
      <c r="J18" s="10" t="s">
        <v>44</v>
      </c>
      <c r="K18" s="10" t="str">
        <f>검색!F25</f>
        <v>https://thumbnail9.coupangcdn.com/thumbnails/remote/230x230ex/image/vendor_inventory/d30c/c26f6ec2cc4a25abccc380cb6a09f493366a8db7bb44cb86c55a12bd5ae6.jpg</v>
      </c>
      <c r="L18" s="10" t="s">
        <v>45</v>
      </c>
      <c r="M18" s="34">
        <f>IF(검색!B25&lt;&gt;"",검색!G25,"")</f>
        <v>4800</v>
      </c>
      <c r="N18" s="10" t="s">
        <v>46</v>
      </c>
      <c r="O18" s="10" t="str">
        <f>검색!C25</f>
        <v>https://link.coupang.com/re/AFFSDP?lptag=AF9099466&amp;subid=jdh5202&amp;pageKey=293461210&amp;itemId=926535428&amp;vendorItemId=5543820019&amp;traceid=V0-153</v>
      </c>
      <c r="P18" s="10" t="s">
        <v>47</v>
      </c>
      <c r="Q18" s="10">
        <f>IFERROR(ABS(검색!H25),"")</f>
        <v>2</v>
      </c>
      <c r="R18" s="10" t="s">
        <v>48</v>
      </c>
      <c r="T18" s="10">
        <v>17</v>
      </c>
    </row>
    <row r="19" spans="1:20" x14ac:dyDescent="0.3">
      <c r="A19" s="10">
        <v>18</v>
      </c>
      <c r="B19" s="29" t="str">
        <f>IF(검색!B26&lt;&gt;"",H19&amp;I19&amp;J19&amp;K19&amp;L19&amp;E19&amp;F19&amp;G19&amp;D19&amp;검색!L26&amp;N19&amp;O19&amp;P19&amp;Q19&amp;R19,"")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href="https://link.coupang.com/re/AFFSDP?lptag=AF9099466&amp;subid=jdh5202&amp;pageKey=5225821361&amp;itemId=7344471557&amp;vendorItemId=74635680782&amp;traceid=V0-153" target="_blank" class="con_link"&gt;&lt;img src="https://thumbnail7.coupangcdn.com/thumbnails/remote/230x230ex/image/vendor_inventory/9fdd/37cf0a934d1cc5ef7cb74a26435fb4ef5bc0c653e31e45538ea518aafb7c.png"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inherit;"&gt;no.18&lt;/span&gt;&lt;/span&gt;&lt;/p&gt;&lt;p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inherit;"&gt;햇반 컵반 직화불고기덮밥 257g, 12개&lt;/span&gt;&lt;/span&gt;&lt;/p&gt;&lt;p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inherit;"&gt;36,500원&lt;/span&gt;&lt;/span&gt;&lt;/p&gt;&lt;p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href="https://link.coupang.com/re/AFFSDP?lptag=AF9099466&amp;subid=jdh5202&amp;pageKey=5225821361&amp;itemId=7344471557&amp;vendorItemId=74635680782&amp;traceid=V0-153"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inherit;"&gt;(2)&lt;/span&gt;&lt;/a&gt;&lt;/span&gt;&lt;/p&gt;&lt;/td&gt;&lt;/tr&gt;&lt;/tbody&gt;&lt;/table&gt;</v>
      </c>
      <c r="C19" s="31" t="str">
        <f>검색!E26</f>
        <v>상품</v>
      </c>
      <c r="D19" s="46" t="s">
        <v>41</v>
      </c>
      <c r="E19" s="30" t="str">
        <f>"no."&amp;A19</f>
        <v>no.18</v>
      </c>
      <c r="F19" s="10" t="s">
        <v>42</v>
      </c>
      <c r="G19" s="10" t="str">
        <f>검색!B26</f>
        <v>햇반 컵반 직화불고기덮밥 257g, 12개</v>
      </c>
      <c r="H19" s="10" t="s">
        <v>43</v>
      </c>
      <c r="I19" s="10" t="str">
        <f>검색!C26</f>
        <v>https://link.coupang.com/re/AFFSDP?lptag=AF9099466&amp;subid=jdh5202&amp;pageKey=5225821361&amp;itemId=7344471557&amp;vendorItemId=74635680782&amp;traceid=V0-153</v>
      </c>
      <c r="J19" s="10" t="s">
        <v>44</v>
      </c>
      <c r="K19" s="10" t="str">
        <f>검색!F26</f>
        <v>https://thumbnail7.coupangcdn.com/thumbnails/remote/230x230ex/image/vendor_inventory/9fdd/37cf0a934d1cc5ef7cb74a26435fb4ef5bc0c653e31e45538ea518aafb7c.png</v>
      </c>
      <c r="L19" s="10" t="s">
        <v>45</v>
      </c>
      <c r="M19" s="34">
        <f>IF(검색!B26&lt;&gt;"",검색!G26,"")</f>
        <v>36500</v>
      </c>
      <c r="N19" s="10" t="s">
        <v>46</v>
      </c>
      <c r="O19" s="10" t="str">
        <f>검색!C26</f>
        <v>https://link.coupang.com/re/AFFSDP?lptag=AF9099466&amp;subid=jdh5202&amp;pageKey=5225821361&amp;itemId=7344471557&amp;vendorItemId=74635680782&amp;traceid=V0-153</v>
      </c>
      <c r="P19" s="10" t="s">
        <v>47</v>
      </c>
      <c r="Q19" s="10">
        <f>IFERROR(ABS(검색!H26),"")</f>
        <v>2</v>
      </c>
      <c r="R19" s="10" t="s">
        <v>48</v>
      </c>
      <c r="T19" s="10">
        <v>18</v>
      </c>
    </row>
    <row r="20" spans="1:20" x14ac:dyDescent="0.3">
      <c r="A20" s="10">
        <v>19</v>
      </c>
      <c r="B20" s="29" t="str">
        <f>IF(검색!B27&lt;&gt;"",H20&amp;I20&amp;J20&amp;K20&amp;L20&amp;E20&amp;F20&amp;G20&amp;D20&amp;검색!L27&amp;N20&amp;O20&amp;P20&amp;Q20&amp;R20,"")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href="https://link.coupang.com/re/AFFSDP?lptag=AF9099466&amp;subid=jdh5202&amp;pageKey=4390078347&amp;itemId=5201692982&amp;vendorItemId=73258619991&amp;traceid=V0-153" target="_blank" class="con_link"&gt;&lt;img src="https://thumbnail6.coupangcdn.com/thumbnails/remote/230x230ex/image/vendor_inventory/cb82/c150e592bd5cf1052566ce015061e57994c2b34d5f20535a370bce2d6c6a.jpg"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inherit;"&gt;no.19&lt;/span&gt;&lt;/span&gt;&lt;/p&gt;&lt;p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inherit;"&gt;추천상품 무배)오뚜기 컵밥 오삼불고기덮밥(280g_12EA), 단일상품(RVU4548)&lt;/span&gt;&lt;/span&gt;&lt;/p&gt;&lt;p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inherit;"&gt;36,840원&lt;/span&gt;&lt;/span&gt;&lt;/p&gt;&lt;p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href="https://link.coupang.com/re/AFFSDP?lptag=AF9099466&amp;subid=jdh5202&amp;pageKey=4390078347&amp;itemId=5201692982&amp;vendorItemId=73258619991&amp;traceid=V0-153"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inherit;"&gt;(0)&lt;/span&gt;&lt;/a&gt;&lt;/span&gt;&lt;/p&gt;&lt;/td&gt;&lt;/tr&gt;&lt;/tbody&gt;&lt;/table&gt;</v>
      </c>
      <c r="C20" s="31" t="str">
        <f>검색!E27</f>
        <v>상품</v>
      </c>
      <c r="D20" s="46" t="s">
        <v>41</v>
      </c>
      <c r="E20" s="30" t="str">
        <f>"no."&amp;A20</f>
        <v>no.19</v>
      </c>
      <c r="F20" s="10" t="s">
        <v>42</v>
      </c>
      <c r="G20" s="10" t="str">
        <f>검색!B27</f>
        <v>추천상품 무배)오뚜기 컵밥 오삼불고기덮밥(280g_12EA), 단일상품(RVU4548)</v>
      </c>
      <c r="H20" s="10" t="s">
        <v>43</v>
      </c>
      <c r="I20" s="10" t="str">
        <f>검색!C27</f>
        <v>https://link.coupang.com/re/AFFSDP?lptag=AF9099466&amp;subid=jdh5202&amp;pageKey=4390078347&amp;itemId=5201692982&amp;vendorItemId=73258619991&amp;traceid=V0-153</v>
      </c>
      <c r="J20" s="10" t="s">
        <v>44</v>
      </c>
      <c r="K20" s="10" t="str">
        <f>검색!F27</f>
        <v>https://thumbnail6.coupangcdn.com/thumbnails/remote/230x230ex/image/vendor_inventory/cb82/c150e592bd5cf1052566ce015061e57994c2b34d5f20535a370bce2d6c6a.jpg</v>
      </c>
      <c r="L20" s="10" t="s">
        <v>45</v>
      </c>
      <c r="M20" s="34">
        <f>IF(검색!B27&lt;&gt;"",검색!G27,"")</f>
        <v>36840</v>
      </c>
      <c r="N20" s="10" t="s">
        <v>46</v>
      </c>
      <c r="O20" s="10" t="str">
        <f>검색!C27</f>
        <v>https://link.coupang.com/re/AFFSDP?lptag=AF9099466&amp;subid=jdh5202&amp;pageKey=4390078347&amp;itemId=5201692982&amp;vendorItemId=73258619991&amp;traceid=V0-153</v>
      </c>
      <c r="P20" s="10" t="s">
        <v>47</v>
      </c>
      <c r="Q20" s="10">
        <f>IFERROR(ABS(검색!H27),"")</f>
        <v>0</v>
      </c>
      <c r="R20" s="10" t="s">
        <v>48</v>
      </c>
      <c r="T20" s="10">
        <v>19</v>
      </c>
    </row>
    <row r="21" spans="1:20" x14ac:dyDescent="0.3">
      <c r="A21" s="10">
        <v>20</v>
      </c>
      <c r="B21" s="29" t="str">
        <f>IF(검색!B28&lt;&gt;"",H21&amp;I21&amp;J21&amp;K21&amp;L21&amp;E21&amp;F21&amp;G21&amp;D21&amp;검색!L28&amp;N21&amp;O21&amp;P21&amp;Q21&amp;R21,"")</f>
        <v>&lt;p&gt;&lt;/p&gt;&lt;table class="__se_tbl" border="0" cellpadding="0" cellspacing="0" _se2_tbl_template="3" style="text-align: center; background-color: rgb(255, 255, 255); border-top: 1px solid rgb(199, 199, 199);"&gt;&lt;tbody&gt;&lt;tr&gt;&lt;td style="padding: 3px 4px 2px; border-bottom: 1px solid rgb(199, 199, 199); color: rgb(102, 102, 102); width: 299px; height: 18px; background-color: rgb(255, 255, 255);" class=""&gt;&lt;p style="text-align: center; " align="center"&gt;&amp;nbsp;&lt;a href="https://link.coupang.com/re/AFFSDP?lptag=AF9099466&amp;subid=jdh5202&amp;pageKey=4823270543&amp;itemId=6216194386&amp;vendorItemId=73472796272&amp;traceid=V0-153" target="_blank" class="con_link"&gt;&lt;img src="https://thumbnail10.coupangcdn.com/thumbnails/remote/230x230ex/image/vendor_inventory/d100/c25dd8f5ed0b58ed7f9737d2db66f97889d7db506cfc5efe480b007078f7.jpg" sqeid="QE_159781730041779459" style="border-color: rgb(0, 0, 0);"&gt;&lt;/a&gt;&lt;/p&gt;&lt;/td&gt;&lt;td style="padding: 3px 4px 2px; border-bottom: 1px solid rgb(199, 199, 199); color: rgb(102, 102, 102); width: 507px; height: 18px; background-color: rgb(255, 255, 255);" class=""&gt;&lt;p class="se-text-paragraph se-text-paragraph-align-center " id="SE-27605fe9-d4ac-4b4b-8b26-bc5de2e74663"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class="se-fs-fs16 se-ff-system  se-style-unset " id="SE-7632648e-7b07-4089-bf14-004dec42f3b8"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inherit;"&gt;no.20&lt;/span&gt;&lt;/span&gt;&lt;/p&gt;&lt;p class="se-text-paragraph se-text-paragraph-align-center " id="SE-0054338f-ac3d-4814-85a8-3da308c97329"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pre-wrap;"&gt;&lt;span class="se-fs-fs19 se-ff-system  se-style-unset " id="SE-895564d9-2d91-407b-9709-3df491429319"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inherit;"&gt;덮밥 7종세트 닭고기 제육 소고기 오징어 오삼불고기 덮밥소스 간편식 냉동식품 혼밥메뉴, 7종 덮밥 세트&lt;/span&gt;&lt;/span&gt;&lt;/p&gt;&lt;p class="se-text-paragraph se-text-paragraph-align-center " id="SE-8c3db500-ea80-4ccb-bad0-b5b22adef68e"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inherit;"&gt;&lt;br&gt;&lt;/span&gt;&lt;/span&gt;&lt;/p&gt;&lt;p class="se-text-paragraph se-text-paragraph-align-center " id="SE-3e850901-7a57-4427-92ef-339c8ce4f9aa"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class="se-fs-fs19 se-ff-system  se-style-unset " id="SE-9290c829-d3bb-4b03-a1f7-02759d8e0661"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0);"&gt;&lt;span style="font-weight: 700; background-color: inherit; font-family: inherit;"&gt;19,500원&lt;/span&gt;&lt;/span&gt;&lt;/p&gt;&lt;p class="se-text-paragraph se-text-paragraph-align-center " id="SE-8c3db500-ea80-4ccb-bad0-b5b22adef68e" style="border: 0px; font-variant-numeric: inherit; font-variant-east-asian: inherit; font-stretch: inherit; font-size: 0px; line-height: 1.8; font-family: se-nanumgothic, sans-serif; vertical-align: baseline; word-break: break-word; overflow-wrap: break-word; white-space: pre-wrap; text-align: center;" align="center"&gt;&lt;span class="se-fs-fs19 se-ff-system  se-style-unset " style="margin: 0px; padding: 0px; border: 0px; font-variant: inherit; font-weight: inherit; font-stretch: inherit; font-size: 19px; font-family: HelveticaNeue, &amp;quot;Helvetica Neue&amp;quot;, helvetica, AppleSDGothicNeo, arial, &amp;quot;malgun gothic&amp;quot;, &amp;quot;맑은  고딕&amp;quot;, sans-serif, Meiryo; vertical-align: baseline; color: rgb(0, 0, 0);"&gt;&lt;/span&gt;&lt;/p&gt;&lt;p class="se-text-paragraph se-text-paragraph-align-center " id="SE-89f38fc5-282e-40af-9a9d-da1f6fdae474" style="text-align: center; border: 0px; font-variant-numeric: inherit; font-variant-east-asian: inherit; font-stretch: inherit; font-size: 0px; line-height: 1.8; font-family: se-nanumgothic, sans-serif; vertical-align: baseline; word-break: break-word; overflow-wrap: break-word; white-space: pre-wrap;" align="center"&gt;&lt;span class="se-fs-fs16 se-ff-system  se-style-unset " id="SE-f3c4a573-1fb1-4334-98c2-f40ed42cbfcc"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26);"&gt;&lt;span style="font-weight: 700; background-color: inherit; font-family: inherit;"&gt;후기확인 &lt;/span&gt;&lt;/span&gt;&lt;span class="se-fs-fs16 se-ff-system  se-style-unset " id="SE-8d29a1b8-2a8e-401c-84c2-3a017a390a4e" style="margin: 0px; padding: 0px; border: 0px; font-variant: inherit; font-weight: inherit; font-stretch: inherit; font-size: 16px; font-family: HelveticaNeue, &amp;quot;Helvetica Neue&amp;quot;, helvetica, AppleSDGothicNeo, arial, &amp;quot;malgun gothic&amp;quot;, &amp;quot;맑은  고딕&amp;quot;, sans-serif, Meiryo; vertical-align: baseline; color: rgb(110, 57, 26);"&gt;&lt;a href="https://link.coupang.com/re/AFFSDP?lptag=AF9099466&amp;subid=jdh5202&amp;pageKey=4823270543&amp;itemId=6216194386&amp;vendorItemId=73472796272&amp;traceid=V0-153" class="se-link" target="_blank" style="margin: 0px; padding: 0px; border: 0px; font: inherit; vertical-align: baseline; text-decoration-skip-ink: none; word-break: break-all; color: rgb(96, 140, 186) !important;"&gt;&lt;span style="font-weight: 700; background-color: inherit; font-family: inherit;"&gt;(23)&lt;/span&gt;&lt;/a&gt;&lt;/span&gt;&lt;/p&gt;&lt;/td&gt;&lt;/tr&gt;&lt;/tbody&gt;&lt;/table&gt;</v>
      </c>
      <c r="C21" s="31" t="str">
        <f>검색!E28</f>
        <v>상품</v>
      </c>
      <c r="D21" s="46" t="s">
        <v>41</v>
      </c>
      <c r="E21" s="30" t="str">
        <f>"no."&amp;A21</f>
        <v>no.20</v>
      </c>
      <c r="F21" s="10" t="s">
        <v>42</v>
      </c>
      <c r="G21" s="10" t="str">
        <f>검색!B28</f>
        <v>덮밥 7종세트 닭고기 제육 소고기 오징어 오삼불고기 덮밥소스 간편식 냉동식품 혼밥메뉴, 7종 덮밥 세트</v>
      </c>
      <c r="H21" s="10" t="s">
        <v>43</v>
      </c>
      <c r="I21" s="10" t="str">
        <f>검색!C28</f>
        <v>https://link.coupang.com/re/AFFSDP?lptag=AF9099466&amp;subid=jdh5202&amp;pageKey=4823270543&amp;itemId=6216194386&amp;vendorItemId=73472796272&amp;traceid=V0-153</v>
      </c>
      <c r="J21" s="10" t="s">
        <v>44</v>
      </c>
      <c r="K21" s="10" t="str">
        <f>검색!F28</f>
        <v>https://thumbnail10.coupangcdn.com/thumbnails/remote/230x230ex/image/vendor_inventory/d100/c25dd8f5ed0b58ed7f9737d2db66f97889d7db506cfc5efe480b007078f7.jpg</v>
      </c>
      <c r="L21" s="10" t="s">
        <v>45</v>
      </c>
      <c r="M21" s="34">
        <f>IF(검색!B28&lt;&gt;"",검색!G28,"")</f>
        <v>19500</v>
      </c>
      <c r="N21" s="10" t="s">
        <v>46</v>
      </c>
      <c r="O21" s="10" t="str">
        <f>검색!C28</f>
        <v>https://link.coupang.com/re/AFFSDP?lptag=AF9099466&amp;subid=jdh5202&amp;pageKey=4823270543&amp;itemId=6216194386&amp;vendorItemId=73472796272&amp;traceid=V0-153</v>
      </c>
      <c r="P21" s="10" t="s">
        <v>47</v>
      </c>
      <c r="Q21" s="10">
        <f>IFERROR(ABS(검색!H28),"")</f>
        <v>23</v>
      </c>
      <c r="R21" s="10" t="s">
        <v>48</v>
      </c>
      <c r="T21" s="10">
        <v>20</v>
      </c>
    </row>
    <row r="22" spans="1:20" x14ac:dyDescent="0.3">
      <c r="A22" s="10">
        <v>21</v>
      </c>
      <c r="B22" s="29" t="str">
        <f>IF(검색!B29&lt;&gt;"",H22&amp;I22&amp;J22&amp;K22&amp;L22&amp;E22&amp;F22&amp;G22&amp;D22&amp;검색!L29&amp;N22&amp;O22&amp;P22&amp;Q22&amp;R22,"")</f>
        <v/>
      </c>
      <c r="C22" s="31" t="str">
        <f>검색!E29</f>
        <v>상품</v>
      </c>
      <c r="D22" s="46" t="s">
        <v>41</v>
      </c>
      <c r="E22" s="30" t="str">
        <f>"no."&amp;A22</f>
        <v>no.21</v>
      </c>
      <c r="F22" s="10" t="s">
        <v>42</v>
      </c>
      <c r="G22" s="10">
        <f>검색!B29</f>
        <v>0</v>
      </c>
      <c r="H22" s="10" t="s">
        <v>43</v>
      </c>
      <c r="I22" s="10" t="e">
        <f>검색!C29</f>
        <v>#VALUE!</v>
      </c>
      <c r="J22" s="10" t="s">
        <v>44</v>
      </c>
      <c r="K22" s="10">
        <f>검색!F29</f>
        <v>0</v>
      </c>
      <c r="L22" s="10" t="s">
        <v>45</v>
      </c>
      <c r="M22" s="34" t="str">
        <f>IF(검색!B29&lt;&gt;"",검색!G29,"")</f>
        <v/>
      </c>
      <c r="N22" s="10" t="s">
        <v>46</v>
      </c>
      <c r="O22" s="10" t="e">
        <f>검색!C29</f>
        <v>#VALUE!</v>
      </c>
      <c r="P22" s="10" t="s">
        <v>47</v>
      </c>
      <c r="Q22" s="10">
        <f>IFERROR(ABS(검색!H29),"")</f>
        <v>0</v>
      </c>
      <c r="R22" s="10" t="s">
        <v>48</v>
      </c>
      <c r="T22" s="10">
        <v>21</v>
      </c>
    </row>
    <row r="23" spans="1:20" x14ac:dyDescent="0.3">
      <c r="A23" s="10">
        <v>22</v>
      </c>
      <c r="B23" s="29" t="str">
        <f>IF(검색!B30&lt;&gt;"",H23&amp;I23&amp;J23&amp;K23&amp;L23&amp;E23&amp;F23&amp;G23&amp;D23&amp;검색!L30&amp;N23&amp;O23&amp;P23&amp;Q23&amp;R23,"")</f>
        <v/>
      </c>
      <c r="C23" s="31" t="b">
        <f>검색!E30</f>
        <v>1</v>
      </c>
      <c r="D23" s="46" t="s">
        <v>41</v>
      </c>
      <c r="E23" s="30" t="str">
        <f>"no."&amp;A23</f>
        <v>no.22</v>
      </c>
      <c r="F23" s="10" t="s">
        <v>42</v>
      </c>
      <c r="G23" s="10">
        <f>검색!B30</f>
        <v>0</v>
      </c>
      <c r="H23" s="10" t="s">
        <v>43</v>
      </c>
      <c r="I23" s="10" t="e">
        <f>검색!C30</f>
        <v>#VALUE!</v>
      </c>
      <c r="J23" s="10" t="s">
        <v>44</v>
      </c>
      <c r="K23" s="10">
        <f>검색!F30</f>
        <v>0</v>
      </c>
      <c r="L23" s="10" t="s">
        <v>45</v>
      </c>
      <c r="M23" s="34" t="str">
        <f>IF(검색!B30&lt;&gt;"",검색!G30,"")</f>
        <v/>
      </c>
      <c r="N23" s="10" t="s">
        <v>46</v>
      </c>
      <c r="O23" s="10" t="e">
        <f>검색!C30</f>
        <v>#VALUE!</v>
      </c>
      <c r="P23" s="10" t="s">
        <v>47</v>
      </c>
      <c r="Q23" s="10">
        <f>IFERROR(ABS(검색!H30),"")</f>
        <v>0</v>
      </c>
      <c r="R23" s="10" t="s">
        <v>48</v>
      </c>
      <c r="T23" s="10">
        <v>22</v>
      </c>
    </row>
    <row r="24" spans="1:20" x14ac:dyDescent="0.3">
      <c r="A24" s="10">
        <v>23</v>
      </c>
      <c r="B24" s="29" t="str">
        <f>IF(검색!B31&lt;&gt;"",H24&amp;I24&amp;J24&amp;K24&amp;L24&amp;E24&amp;F24&amp;G24&amp;D24&amp;검색!L31&amp;N24&amp;O24&amp;P24&amp;Q24&amp;R24,"")</f>
        <v/>
      </c>
      <c r="C24" s="31" t="str">
        <f>검색!E31</f>
        <v>상품</v>
      </c>
      <c r="D24" s="46" t="s">
        <v>41</v>
      </c>
      <c r="E24" s="30" t="str">
        <f>"no."&amp;A24</f>
        <v>no.23</v>
      </c>
      <c r="F24" s="10" t="s">
        <v>42</v>
      </c>
      <c r="G24" s="10">
        <f>검색!B31</f>
        <v>0</v>
      </c>
      <c r="H24" s="10" t="s">
        <v>43</v>
      </c>
      <c r="I24" s="10" t="e">
        <f>검색!C31</f>
        <v>#VALUE!</v>
      </c>
      <c r="J24" s="10" t="s">
        <v>44</v>
      </c>
      <c r="K24" s="10">
        <f>검색!F31</f>
        <v>0</v>
      </c>
      <c r="L24" s="10" t="s">
        <v>45</v>
      </c>
      <c r="M24" s="34" t="str">
        <f>IF(검색!B31&lt;&gt;"",검색!G31,"")</f>
        <v/>
      </c>
      <c r="N24" s="10" t="s">
        <v>46</v>
      </c>
      <c r="O24" s="10" t="e">
        <f>검색!C31</f>
        <v>#VALUE!</v>
      </c>
      <c r="P24" s="10" t="s">
        <v>47</v>
      </c>
      <c r="Q24" s="10">
        <f>IFERROR(ABS(검색!H31),"")</f>
        <v>0</v>
      </c>
      <c r="R24" s="10" t="s">
        <v>48</v>
      </c>
      <c r="T24" s="10">
        <v>23</v>
      </c>
    </row>
    <row r="25" spans="1:20" x14ac:dyDescent="0.3">
      <c r="A25" s="10">
        <v>24</v>
      </c>
      <c r="B25" s="29" t="str">
        <f>IF(검색!B32&lt;&gt;"",H25&amp;I25&amp;J25&amp;K25&amp;L25&amp;E25&amp;F25&amp;G25&amp;D25&amp;검색!L32&amp;N25&amp;O25&amp;P25&amp;Q25&amp;R25,"")</f>
        <v/>
      </c>
      <c r="C25" s="31" t="str">
        <f>검색!E32</f>
        <v>상품</v>
      </c>
      <c r="D25" s="46" t="s">
        <v>41</v>
      </c>
      <c r="E25" s="30" t="str">
        <f>"no."&amp;A25</f>
        <v>no.24</v>
      </c>
      <c r="F25" s="10" t="s">
        <v>42</v>
      </c>
      <c r="G25" s="10">
        <f>검색!B32</f>
        <v>0</v>
      </c>
      <c r="H25" s="10" t="s">
        <v>43</v>
      </c>
      <c r="I25" s="10" t="e">
        <f>검색!C32</f>
        <v>#VALUE!</v>
      </c>
      <c r="J25" s="10" t="s">
        <v>44</v>
      </c>
      <c r="K25" s="10">
        <f>검색!F32</f>
        <v>0</v>
      </c>
      <c r="L25" s="10" t="s">
        <v>45</v>
      </c>
      <c r="M25" s="34" t="str">
        <f>IF(검색!B32&lt;&gt;"",검색!G32,"")</f>
        <v/>
      </c>
      <c r="N25" s="10" t="s">
        <v>46</v>
      </c>
      <c r="O25" s="10" t="e">
        <f>검색!C32</f>
        <v>#VALUE!</v>
      </c>
      <c r="P25" s="10" t="s">
        <v>47</v>
      </c>
      <c r="Q25" s="10">
        <f>IFERROR(ABS(검색!H32),"")</f>
        <v>0</v>
      </c>
      <c r="R25" s="10" t="s">
        <v>48</v>
      </c>
      <c r="T25" s="10">
        <v>24</v>
      </c>
    </row>
    <row r="26" spans="1:20" x14ac:dyDescent="0.3">
      <c r="A26" s="10">
        <v>25</v>
      </c>
      <c r="B26" s="29" t="str">
        <f>IF(검색!B33&lt;&gt;"",H26&amp;I26&amp;J26&amp;K26&amp;L26&amp;E26&amp;F26&amp;G26&amp;D26&amp;검색!L33&amp;N26&amp;O26&amp;P26&amp;Q26&amp;R26,"")</f>
        <v/>
      </c>
      <c r="C26" s="31" t="str">
        <f>검색!E33</f>
        <v>상품</v>
      </c>
      <c r="D26" s="46" t="s">
        <v>41</v>
      </c>
      <c r="E26" s="30" t="str">
        <f>"no."&amp;A26</f>
        <v>no.25</v>
      </c>
      <c r="F26" s="10" t="s">
        <v>42</v>
      </c>
      <c r="G26" s="10">
        <f>검색!B33</f>
        <v>0</v>
      </c>
      <c r="H26" s="10" t="s">
        <v>43</v>
      </c>
      <c r="I26" s="10" t="e">
        <f>검색!C33</f>
        <v>#VALUE!</v>
      </c>
      <c r="J26" s="10" t="s">
        <v>44</v>
      </c>
      <c r="K26" s="10">
        <f>검색!F33</f>
        <v>0</v>
      </c>
      <c r="L26" s="10" t="s">
        <v>45</v>
      </c>
      <c r="M26" s="34" t="str">
        <f>IF(검색!B33&lt;&gt;"",검색!G33,"")</f>
        <v/>
      </c>
      <c r="N26" s="10" t="s">
        <v>46</v>
      </c>
      <c r="O26" s="10" t="e">
        <f>검색!C33</f>
        <v>#VALUE!</v>
      </c>
      <c r="P26" s="10" t="s">
        <v>47</v>
      </c>
      <c r="Q26" s="10">
        <f>IFERROR(ABS(검색!H33),"")</f>
        <v>0</v>
      </c>
      <c r="R26" s="10" t="s">
        <v>48</v>
      </c>
      <c r="T26" s="10">
        <v>25</v>
      </c>
    </row>
    <row r="27" spans="1:20" x14ac:dyDescent="0.3">
      <c r="A27" s="10">
        <v>26</v>
      </c>
      <c r="B27" s="29" t="str">
        <f>IF(검색!B34&lt;&gt;"",H27&amp;I27&amp;J27&amp;K27&amp;L27&amp;E27&amp;F27&amp;G27&amp;D27&amp;검색!L34&amp;N27&amp;O27&amp;P27&amp;Q27&amp;R27,"")</f>
        <v/>
      </c>
      <c r="C27" s="31" t="str">
        <f>검색!E34</f>
        <v>상품</v>
      </c>
      <c r="D27" s="46" t="s">
        <v>41</v>
      </c>
      <c r="E27" s="30" t="str">
        <f>"no."&amp;A27</f>
        <v>no.26</v>
      </c>
      <c r="F27" s="10" t="s">
        <v>42</v>
      </c>
      <c r="G27" s="10">
        <f>검색!B34</f>
        <v>0</v>
      </c>
      <c r="H27" s="10" t="s">
        <v>43</v>
      </c>
      <c r="I27" s="10" t="e">
        <f>검색!C34</f>
        <v>#VALUE!</v>
      </c>
      <c r="J27" s="10" t="s">
        <v>44</v>
      </c>
      <c r="K27" s="10">
        <f>검색!F34</f>
        <v>0</v>
      </c>
      <c r="L27" s="10" t="s">
        <v>45</v>
      </c>
      <c r="M27" s="34" t="str">
        <f>IF(검색!B34&lt;&gt;"",검색!G34,"")</f>
        <v/>
      </c>
      <c r="N27" s="10" t="s">
        <v>46</v>
      </c>
      <c r="O27" s="10" t="e">
        <f>검색!C34</f>
        <v>#VALUE!</v>
      </c>
      <c r="P27" s="10" t="s">
        <v>47</v>
      </c>
      <c r="Q27" s="10">
        <f>IFERROR(ABS(검색!H34),"")</f>
        <v>0</v>
      </c>
      <c r="R27" s="10" t="s">
        <v>48</v>
      </c>
      <c r="T27" s="10">
        <v>26</v>
      </c>
    </row>
    <row r="28" spans="1:20" x14ac:dyDescent="0.3">
      <c r="A28" s="10">
        <v>27</v>
      </c>
      <c r="B28" s="29" t="str">
        <f>IF(검색!B35&lt;&gt;"",H28&amp;I28&amp;J28&amp;K28&amp;L28&amp;E28&amp;F28&amp;G28&amp;D28&amp;검색!L35&amp;N28&amp;O28&amp;P28&amp;Q28&amp;R28,"")</f>
        <v/>
      </c>
      <c r="C28" s="31" t="str">
        <f>검색!E35</f>
        <v>상품</v>
      </c>
      <c r="D28" s="46" t="s">
        <v>41</v>
      </c>
      <c r="E28" s="30" t="str">
        <f>"no."&amp;A28</f>
        <v>no.27</v>
      </c>
      <c r="F28" s="10" t="s">
        <v>42</v>
      </c>
      <c r="G28" s="10">
        <f>검색!B35</f>
        <v>0</v>
      </c>
      <c r="H28" s="10" t="s">
        <v>43</v>
      </c>
      <c r="I28" s="10" t="e">
        <f>검색!C35</f>
        <v>#VALUE!</v>
      </c>
      <c r="J28" s="10" t="s">
        <v>44</v>
      </c>
      <c r="K28" s="10">
        <f>검색!F35</f>
        <v>0</v>
      </c>
      <c r="L28" s="10" t="s">
        <v>45</v>
      </c>
      <c r="M28" s="34" t="str">
        <f>IF(검색!B35&lt;&gt;"",검색!G35,"")</f>
        <v/>
      </c>
      <c r="N28" s="10" t="s">
        <v>46</v>
      </c>
      <c r="O28" s="10" t="e">
        <f>검색!C35</f>
        <v>#VALUE!</v>
      </c>
      <c r="P28" s="10" t="s">
        <v>47</v>
      </c>
      <c r="Q28" s="10">
        <f>IFERROR(ABS(검색!H35),"")</f>
        <v>0</v>
      </c>
      <c r="R28" s="10" t="s">
        <v>48</v>
      </c>
      <c r="T28" s="10">
        <v>27</v>
      </c>
    </row>
    <row r="29" spans="1:20" x14ac:dyDescent="0.3">
      <c r="A29" s="10">
        <v>28</v>
      </c>
      <c r="B29" s="29" t="str">
        <f>IF(검색!B36&lt;&gt;"",H29&amp;I29&amp;J29&amp;K29&amp;L29&amp;E29&amp;F29&amp;G29&amp;D29&amp;검색!L36&amp;N29&amp;O29&amp;P29&amp;Q29&amp;R29,"")</f>
        <v/>
      </c>
      <c r="C29" s="31" t="str">
        <f>검색!E36</f>
        <v>상품</v>
      </c>
      <c r="D29" s="46" t="s">
        <v>41</v>
      </c>
      <c r="E29" s="30" t="str">
        <f>"no."&amp;A29</f>
        <v>no.28</v>
      </c>
      <c r="F29" s="10" t="s">
        <v>42</v>
      </c>
      <c r="G29" s="10">
        <f>검색!B36</f>
        <v>0</v>
      </c>
      <c r="H29" s="10" t="s">
        <v>43</v>
      </c>
      <c r="I29" s="10" t="e">
        <f>검색!C36</f>
        <v>#VALUE!</v>
      </c>
      <c r="J29" s="10" t="s">
        <v>44</v>
      </c>
      <c r="K29" s="10">
        <f>검색!F36</f>
        <v>0</v>
      </c>
      <c r="L29" s="10" t="s">
        <v>45</v>
      </c>
      <c r="M29" s="34" t="str">
        <f>IF(검색!B36&lt;&gt;"",검색!G36,"")</f>
        <v/>
      </c>
      <c r="N29" s="10" t="s">
        <v>46</v>
      </c>
      <c r="O29" s="10" t="e">
        <f>검색!C36</f>
        <v>#VALUE!</v>
      </c>
      <c r="P29" s="10" t="s">
        <v>47</v>
      </c>
      <c r="Q29" s="10">
        <f>IFERROR(ABS(검색!H36),"")</f>
        <v>0</v>
      </c>
      <c r="R29" s="10" t="s">
        <v>48</v>
      </c>
      <c r="T29" s="10">
        <v>28</v>
      </c>
    </row>
    <row r="30" spans="1:20" x14ac:dyDescent="0.3">
      <c r="A30" s="10">
        <v>29</v>
      </c>
      <c r="B30" s="29" t="str">
        <f>IF(검색!B37&lt;&gt;"",H30&amp;I30&amp;J30&amp;K30&amp;L30&amp;E30&amp;F30&amp;G30&amp;D30&amp;검색!L37&amp;N30&amp;O30&amp;P30&amp;Q30&amp;R30,"")</f>
        <v/>
      </c>
      <c r="C30" s="31" t="str">
        <f>검색!E37</f>
        <v>상품</v>
      </c>
      <c r="D30" s="46" t="s">
        <v>41</v>
      </c>
      <c r="E30" s="30" t="str">
        <f>"no."&amp;A30</f>
        <v>no.29</v>
      </c>
      <c r="F30" s="10" t="s">
        <v>42</v>
      </c>
      <c r="G30" s="10">
        <f>검색!B37</f>
        <v>0</v>
      </c>
      <c r="H30" s="10" t="s">
        <v>43</v>
      </c>
      <c r="I30" s="10" t="e">
        <f>검색!C37</f>
        <v>#VALUE!</v>
      </c>
      <c r="J30" s="10" t="s">
        <v>44</v>
      </c>
      <c r="K30" s="10">
        <f>검색!F37</f>
        <v>0</v>
      </c>
      <c r="L30" s="10" t="s">
        <v>45</v>
      </c>
      <c r="M30" s="34" t="str">
        <f>IF(검색!B37&lt;&gt;"",검색!G37,"")</f>
        <v/>
      </c>
      <c r="N30" s="10" t="s">
        <v>46</v>
      </c>
      <c r="O30" s="10" t="e">
        <f>검색!C37</f>
        <v>#VALUE!</v>
      </c>
      <c r="P30" s="10" t="s">
        <v>47</v>
      </c>
      <c r="Q30" s="10">
        <f>IFERROR(ABS(검색!H37),"")</f>
        <v>0</v>
      </c>
      <c r="R30" s="10" t="s">
        <v>48</v>
      </c>
      <c r="T30" s="10">
        <v>29</v>
      </c>
    </row>
    <row r="31" spans="1:20" x14ac:dyDescent="0.3">
      <c r="A31" s="10">
        <v>30</v>
      </c>
      <c r="B31" s="29" t="str">
        <f>IF(검색!B38&lt;&gt;"",H31&amp;I31&amp;J31&amp;K31&amp;L31&amp;E31&amp;F31&amp;G31&amp;D31&amp;검색!L38&amp;N31&amp;O31&amp;P31&amp;Q31&amp;R31,"")</f>
        <v/>
      </c>
      <c r="C31" s="31" t="str">
        <f>검색!E38</f>
        <v>상품</v>
      </c>
      <c r="D31" s="46" t="s">
        <v>41</v>
      </c>
      <c r="E31" s="30" t="str">
        <f>"no."&amp;A31</f>
        <v>no.30</v>
      </c>
      <c r="F31" s="10" t="s">
        <v>42</v>
      </c>
      <c r="G31" s="10">
        <f>검색!B38</f>
        <v>0</v>
      </c>
      <c r="H31" s="10" t="s">
        <v>43</v>
      </c>
      <c r="I31" s="10" t="e">
        <f>검색!C38</f>
        <v>#VALUE!</v>
      </c>
      <c r="J31" s="10" t="s">
        <v>44</v>
      </c>
      <c r="K31" s="10">
        <f>검색!F38</f>
        <v>0</v>
      </c>
      <c r="L31" s="10" t="s">
        <v>45</v>
      </c>
      <c r="M31" s="34" t="str">
        <f>IF(검색!B38&lt;&gt;"",검색!G38,"")</f>
        <v/>
      </c>
      <c r="N31" s="10" t="s">
        <v>46</v>
      </c>
      <c r="O31" s="10" t="e">
        <f>검색!C38</f>
        <v>#VALUE!</v>
      </c>
      <c r="P31" s="10" t="s">
        <v>47</v>
      </c>
      <c r="Q31" s="10">
        <f>IFERROR(ABS(검색!H38),"")</f>
        <v>0</v>
      </c>
      <c r="R31" s="10" t="s">
        <v>48</v>
      </c>
      <c r="T31" s="10">
        <v>30</v>
      </c>
    </row>
    <row r="32" spans="1:20" x14ac:dyDescent="0.3">
      <c r="A32" s="10">
        <v>31</v>
      </c>
      <c r="B32" s="29" t="str">
        <f>IF(검색!B39&lt;&gt;"",H32&amp;I32&amp;J32&amp;K32&amp;L32&amp;E32&amp;F32&amp;G32&amp;D32&amp;검색!L39&amp;N32&amp;O32&amp;P32&amp;Q32&amp;R32,"")</f>
        <v/>
      </c>
      <c r="C32" s="31" t="str">
        <f>검색!E39</f>
        <v>상품</v>
      </c>
      <c r="D32" s="46" t="s">
        <v>41</v>
      </c>
      <c r="E32" s="30" t="str">
        <f>"no."&amp;A32</f>
        <v>no.31</v>
      </c>
      <c r="F32" s="10" t="s">
        <v>42</v>
      </c>
      <c r="G32" s="10">
        <f>검색!B39</f>
        <v>0</v>
      </c>
      <c r="H32" s="10" t="s">
        <v>43</v>
      </c>
      <c r="I32" s="10" t="e">
        <f>검색!C39</f>
        <v>#VALUE!</v>
      </c>
      <c r="J32" s="10" t="s">
        <v>44</v>
      </c>
      <c r="K32" s="10">
        <f>검색!F39</f>
        <v>0</v>
      </c>
      <c r="L32" s="10" t="s">
        <v>45</v>
      </c>
      <c r="M32" s="34" t="str">
        <f>IF(검색!B39&lt;&gt;"",검색!G39,"")</f>
        <v/>
      </c>
      <c r="N32" s="10" t="s">
        <v>46</v>
      </c>
      <c r="O32" s="10" t="e">
        <f>검색!C39</f>
        <v>#VALUE!</v>
      </c>
      <c r="P32" s="10" t="s">
        <v>47</v>
      </c>
      <c r="Q32" s="10">
        <f>IFERROR(ABS(검색!H39),"")</f>
        <v>0</v>
      </c>
      <c r="R32" s="10" t="s">
        <v>48</v>
      </c>
      <c r="T32" s="10">
        <v>31</v>
      </c>
    </row>
    <row r="33" spans="1:20" x14ac:dyDescent="0.3">
      <c r="A33" s="10">
        <v>32</v>
      </c>
      <c r="B33" s="29" t="str">
        <f>IF(검색!B40&lt;&gt;"",H33&amp;I33&amp;J33&amp;K33&amp;L33&amp;E33&amp;F33&amp;G33&amp;D33&amp;검색!L40&amp;N33&amp;O33&amp;P33&amp;Q33&amp;R33,"")</f>
        <v/>
      </c>
      <c r="C33" s="31" t="str">
        <f>검색!E40</f>
        <v>상품</v>
      </c>
      <c r="D33" s="46" t="s">
        <v>41</v>
      </c>
      <c r="E33" s="30" t="str">
        <f>"no."&amp;A33</f>
        <v>no.32</v>
      </c>
      <c r="F33" s="10" t="s">
        <v>42</v>
      </c>
      <c r="G33" s="10">
        <f>검색!B40</f>
        <v>0</v>
      </c>
      <c r="H33" s="10" t="s">
        <v>43</v>
      </c>
      <c r="I33" s="10" t="e">
        <f>검색!C40</f>
        <v>#VALUE!</v>
      </c>
      <c r="J33" s="10" t="s">
        <v>44</v>
      </c>
      <c r="K33" s="10">
        <f>검색!F40</f>
        <v>0</v>
      </c>
      <c r="L33" s="10" t="s">
        <v>45</v>
      </c>
      <c r="M33" s="34" t="str">
        <f>IF(검색!B40&lt;&gt;"",검색!G40,"")</f>
        <v/>
      </c>
      <c r="N33" s="10" t="s">
        <v>46</v>
      </c>
      <c r="O33" s="10" t="e">
        <f>검색!C40</f>
        <v>#VALUE!</v>
      </c>
      <c r="P33" s="10" t="s">
        <v>47</v>
      </c>
      <c r="Q33" s="10">
        <f>IFERROR(ABS(검색!H40),"")</f>
        <v>0</v>
      </c>
      <c r="R33" s="10" t="s">
        <v>48</v>
      </c>
      <c r="T33" s="10">
        <v>32</v>
      </c>
    </row>
    <row r="34" spans="1:20" x14ac:dyDescent="0.3">
      <c r="A34" s="10">
        <v>33</v>
      </c>
      <c r="B34" s="29" t="str">
        <f>IF(검색!B41&lt;&gt;"",H34&amp;I34&amp;J34&amp;K34&amp;L34&amp;E34&amp;F34&amp;G34&amp;D34&amp;검색!L41&amp;N34&amp;O34&amp;P34&amp;Q34&amp;R34,"")</f>
        <v/>
      </c>
      <c r="C34" s="31" t="str">
        <f>검색!E41</f>
        <v>상품</v>
      </c>
      <c r="D34" s="46" t="s">
        <v>41</v>
      </c>
      <c r="E34" s="30" t="str">
        <f>"no."&amp;A34</f>
        <v>no.33</v>
      </c>
      <c r="F34" s="10" t="s">
        <v>42</v>
      </c>
      <c r="G34" s="10">
        <f>검색!B41</f>
        <v>0</v>
      </c>
      <c r="H34" s="10" t="s">
        <v>43</v>
      </c>
      <c r="I34" s="10" t="e">
        <f>검색!C41</f>
        <v>#VALUE!</v>
      </c>
      <c r="J34" s="10" t="s">
        <v>44</v>
      </c>
      <c r="K34" s="10">
        <f>검색!F41</f>
        <v>0</v>
      </c>
      <c r="L34" s="10" t="s">
        <v>45</v>
      </c>
      <c r="M34" s="34" t="str">
        <f>IF(검색!B41&lt;&gt;"",검색!G41,"")</f>
        <v/>
      </c>
      <c r="N34" s="10" t="s">
        <v>46</v>
      </c>
      <c r="O34" s="10" t="e">
        <f>검색!C41</f>
        <v>#VALUE!</v>
      </c>
      <c r="P34" s="10" t="s">
        <v>47</v>
      </c>
      <c r="Q34" s="10">
        <f>IFERROR(ABS(검색!H41),"")</f>
        <v>0</v>
      </c>
      <c r="R34" s="10" t="s">
        <v>48</v>
      </c>
      <c r="T34" s="10">
        <v>33</v>
      </c>
    </row>
    <row r="35" spans="1:20" x14ac:dyDescent="0.3">
      <c r="A35" s="10">
        <v>34</v>
      </c>
      <c r="B35" s="29" t="str">
        <f>IF(검색!B42&lt;&gt;"",H35&amp;I35&amp;J35&amp;K35&amp;L35&amp;E35&amp;F35&amp;G35&amp;D35&amp;검색!L42&amp;N35&amp;O35&amp;P35&amp;Q35&amp;R35,"")</f>
        <v/>
      </c>
      <c r="C35" s="31" t="str">
        <f>검색!E42</f>
        <v>상품</v>
      </c>
      <c r="D35" s="46" t="s">
        <v>41</v>
      </c>
      <c r="E35" s="30" t="str">
        <f>"no."&amp;A35</f>
        <v>no.34</v>
      </c>
      <c r="F35" s="10" t="s">
        <v>42</v>
      </c>
      <c r="G35" s="10">
        <f>검색!B42</f>
        <v>0</v>
      </c>
      <c r="H35" s="10" t="s">
        <v>43</v>
      </c>
      <c r="I35" s="10" t="e">
        <f>검색!C42</f>
        <v>#VALUE!</v>
      </c>
      <c r="J35" s="10" t="s">
        <v>44</v>
      </c>
      <c r="K35" s="10">
        <f>검색!F42</f>
        <v>0</v>
      </c>
      <c r="L35" s="10" t="s">
        <v>45</v>
      </c>
      <c r="M35" s="34" t="str">
        <f>IF(검색!B42&lt;&gt;"",검색!G42,"")</f>
        <v/>
      </c>
      <c r="N35" s="10" t="s">
        <v>46</v>
      </c>
      <c r="O35" s="10" t="e">
        <f>검색!C42</f>
        <v>#VALUE!</v>
      </c>
      <c r="P35" s="10" t="s">
        <v>47</v>
      </c>
      <c r="Q35" s="10">
        <f>IFERROR(ABS(검색!H42),"")</f>
        <v>0</v>
      </c>
      <c r="R35" s="10" t="s">
        <v>48</v>
      </c>
      <c r="T35" s="10">
        <v>34</v>
      </c>
    </row>
    <row r="36" spans="1:20" x14ac:dyDescent="0.3">
      <c r="A36" s="10">
        <v>35</v>
      </c>
      <c r="B36" s="29" t="str">
        <f>IF(검색!B43&lt;&gt;"",H36&amp;I36&amp;J36&amp;K36&amp;L36&amp;E36&amp;F36&amp;G36&amp;D36&amp;검색!L43&amp;N36&amp;O36&amp;P36&amp;Q36&amp;R36,"")</f>
        <v/>
      </c>
      <c r="C36" s="31" t="str">
        <f>검색!E43</f>
        <v>상품</v>
      </c>
      <c r="D36" s="46" t="s">
        <v>41</v>
      </c>
      <c r="E36" s="30" t="str">
        <f>"no."&amp;A36</f>
        <v>no.35</v>
      </c>
      <c r="F36" s="10" t="s">
        <v>42</v>
      </c>
      <c r="G36" s="10">
        <f>검색!B43</f>
        <v>0</v>
      </c>
      <c r="H36" s="10" t="s">
        <v>43</v>
      </c>
      <c r="I36" s="10" t="e">
        <f>검색!C43</f>
        <v>#VALUE!</v>
      </c>
      <c r="J36" s="10" t="s">
        <v>44</v>
      </c>
      <c r="K36" s="10">
        <f>검색!F43</f>
        <v>0</v>
      </c>
      <c r="L36" s="10" t="s">
        <v>45</v>
      </c>
      <c r="M36" s="34" t="str">
        <f>IF(검색!B43&lt;&gt;"",검색!G43,"")</f>
        <v/>
      </c>
      <c r="N36" s="10" t="s">
        <v>46</v>
      </c>
      <c r="O36" s="10" t="e">
        <f>검색!C43</f>
        <v>#VALUE!</v>
      </c>
      <c r="P36" s="10" t="s">
        <v>47</v>
      </c>
      <c r="Q36" s="10">
        <f>IFERROR(ABS(검색!H43),"")</f>
        <v>0</v>
      </c>
      <c r="R36" s="10" t="s">
        <v>48</v>
      </c>
      <c r="T36" s="10">
        <v>35</v>
      </c>
    </row>
    <row r="37" spans="1:20" x14ac:dyDescent="0.3">
      <c r="A37" s="10">
        <v>36</v>
      </c>
      <c r="B37" s="29" t="str">
        <f>IF(검색!B44&lt;&gt;"",H37&amp;I37&amp;J37&amp;K37&amp;L37&amp;E37&amp;F37&amp;G37&amp;D37&amp;검색!L44&amp;N37&amp;O37&amp;P37&amp;Q37&amp;R37,"")</f>
        <v/>
      </c>
      <c r="C37" s="31" t="str">
        <f>검색!E44</f>
        <v>상품</v>
      </c>
      <c r="D37" s="46" t="s">
        <v>41</v>
      </c>
      <c r="E37" s="30" t="str">
        <f>"no."&amp;A37</f>
        <v>no.36</v>
      </c>
      <c r="F37" s="10" t="s">
        <v>42</v>
      </c>
      <c r="G37" s="10">
        <f>검색!B44</f>
        <v>0</v>
      </c>
      <c r="H37" s="10" t="s">
        <v>43</v>
      </c>
      <c r="I37" s="10" t="e">
        <f>검색!C44</f>
        <v>#VALUE!</v>
      </c>
      <c r="J37" s="10" t="s">
        <v>44</v>
      </c>
      <c r="K37" s="10">
        <f>검색!F44</f>
        <v>0</v>
      </c>
      <c r="L37" s="10" t="s">
        <v>45</v>
      </c>
      <c r="M37" s="34" t="str">
        <f>IF(검색!B44&lt;&gt;"",검색!G44,"")</f>
        <v/>
      </c>
      <c r="N37" s="10" t="s">
        <v>46</v>
      </c>
      <c r="O37" s="10" t="e">
        <f>검색!C44</f>
        <v>#VALUE!</v>
      </c>
      <c r="P37" s="10" t="s">
        <v>47</v>
      </c>
      <c r="Q37" s="10">
        <f>IFERROR(ABS(검색!H44),"")</f>
        <v>0</v>
      </c>
      <c r="R37" s="10" t="s">
        <v>48</v>
      </c>
      <c r="T37" s="10">
        <v>36</v>
      </c>
    </row>
  </sheetData>
  <protectedRanges>
    <protectedRange sqref="B1" name="범위2"/>
  </protectedRanges>
  <autoFilter ref="B1:T37" xr:uid="{00000000-0009-0000-0000-000001000000}">
    <sortState xmlns:xlrd2="http://schemas.microsoft.com/office/spreadsheetml/2017/richdata2" ref="B2:T37">
      <sortCondition ref="T1:T37"/>
    </sortState>
  </autoFilter>
  <phoneticPr fontId="1" type="noConversion"/>
  <conditionalFormatting sqref="C2:C37">
    <cfRule type="containsText" dxfId="0" priority="2" operator="containsText" text="광고">
      <formula>NOT(ISERROR(SEARCH("광고",C2)))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검색</vt:lpstr>
      <vt:lpstr>태그수정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지경배</cp:lastModifiedBy>
  <dcterms:created xsi:type="dcterms:W3CDTF">2019-04-25T17:13:31Z</dcterms:created>
  <dcterms:modified xsi:type="dcterms:W3CDTF">2021-09-12T03:55:31Z</dcterms:modified>
</cp:coreProperties>
</file>